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vin\Desktop\Assetto\Karrieren\Karriere Full\"/>
    </mc:Choice>
  </mc:AlternateContent>
  <xr:revisionPtr revIDLastSave="0" documentId="13_ncr:1_{EECB5EBE-3DEB-4E88-B621-DA9720E2E127}" xr6:coauthVersionLast="47" xr6:coauthVersionMax="47" xr10:uidLastSave="{00000000-0000-0000-0000-000000000000}"/>
  <bookViews>
    <workbookView xWindow="-28920" yWindow="-120" windowWidth="29040" windowHeight="15720" tabRatio="500" activeTab="2" xr2:uid="{00000000-000D-0000-FFFF-FFFF00000000}"/>
  </bookViews>
  <sheets>
    <sheet name="🏁 Fahrerwertung" sheetId="2" r:id="rId1"/>
    <sheet name="🎯 Anforderungen" sheetId="1" r:id="rId2"/>
    <sheet name="🏗️ Konstrukteurs" sheetId="3" r:id="rId3"/>
    <sheet name="📋 Quali &amp; Notizen"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6" i="4" l="1"/>
  <c r="E45" i="4"/>
  <c r="E43" i="4"/>
  <c r="E42" i="4"/>
  <c r="E41" i="4"/>
  <c r="E40" i="4"/>
  <c r="E39" i="4"/>
  <c r="E38" i="4"/>
  <c r="E37" i="4"/>
  <c r="E36" i="4"/>
  <c r="E35" i="4"/>
  <c r="D33" i="1" s="1"/>
  <c r="E33" i="1" s="1"/>
  <c r="E34" i="4"/>
  <c r="E32" i="4"/>
  <c r="E30" i="4"/>
  <c r="K24" i="4"/>
  <c r="G24" i="4"/>
  <c r="E24" i="4"/>
  <c r="K23" i="4"/>
  <c r="G23" i="4"/>
  <c r="E23" i="4"/>
  <c r="K22" i="4"/>
  <c r="G22" i="4"/>
  <c r="E22" i="4"/>
  <c r="K21" i="4"/>
  <c r="G21" i="4"/>
  <c r="E21" i="4"/>
  <c r="K20" i="4"/>
  <c r="G20" i="4"/>
  <c r="E20" i="4"/>
  <c r="K19" i="4"/>
  <c r="G19" i="4"/>
  <c r="E19" i="4"/>
  <c r="K18" i="4"/>
  <c r="G18" i="4"/>
  <c r="E18" i="4"/>
  <c r="K17" i="4"/>
  <c r="G17" i="4"/>
  <c r="E17" i="4"/>
  <c r="K16" i="4"/>
  <c r="G16" i="4"/>
  <c r="E16" i="4"/>
  <c r="K15" i="4"/>
  <c r="G15" i="4"/>
  <c r="E15" i="4"/>
  <c r="G14" i="4"/>
  <c r="E14" i="4"/>
  <c r="K13" i="4"/>
  <c r="G13" i="4"/>
  <c r="E13" i="4"/>
  <c r="K12" i="4"/>
  <c r="G12" i="4"/>
  <c r="E12" i="4"/>
  <c r="K11" i="4"/>
  <c r="G11" i="4"/>
  <c r="E11" i="4"/>
  <c r="K10" i="4"/>
  <c r="G10" i="4"/>
  <c r="E10" i="4"/>
  <c r="K9" i="4"/>
  <c r="G9" i="4"/>
  <c r="E9" i="4"/>
  <c r="K8" i="4"/>
  <c r="G8" i="4"/>
  <c r="E8" i="4"/>
  <c r="K7" i="4"/>
  <c r="G7" i="4"/>
  <c r="E7" i="4"/>
  <c r="K6" i="4"/>
  <c r="E44" i="4" s="1"/>
  <c r="G6" i="4"/>
  <c r="E6" i="4"/>
  <c r="K5" i="4"/>
  <c r="G5" i="4"/>
  <c r="E5" i="4"/>
  <c r="E14" i="3"/>
  <c r="X25" i="2"/>
  <c r="Y25" i="2" s="1"/>
  <c r="X24" i="2"/>
  <c r="X23" i="2"/>
  <c r="X22" i="2"/>
  <c r="X21" i="2"/>
  <c r="X20" i="2"/>
  <c r="E12" i="3" s="1"/>
  <c r="X19" i="2"/>
  <c r="X18" i="2"/>
  <c r="X17" i="2"/>
  <c r="X16" i="2"/>
  <c r="X15" i="2"/>
  <c r="X14" i="2"/>
  <c r="X13" i="2"/>
  <c r="X12" i="2"/>
  <c r="X11" i="2"/>
  <c r="X10" i="2"/>
  <c r="X9" i="2"/>
  <c r="X8" i="2"/>
  <c r="X7" i="2"/>
  <c r="X6" i="2"/>
  <c r="Y23" i="2" l="1"/>
  <c r="Y24" i="2"/>
  <c r="Y21" i="2"/>
  <c r="Y6" i="2"/>
  <c r="Y20" i="2"/>
  <c r="Y18" i="2"/>
  <c r="Y16" i="2"/>
  <c r="E10" i="3"/>
  <c r="Y17" i="2"/>
  <c r="Y12" i="2"/>
  <c r="Y15" i="2"/>
  <c r="Y9" i="2"/>
  <c r="Y13" i="2"/>
  <c r="E8" i="3"/>
  <c r="Y11" i="2"/>
  <c r="Y8" i="2"/>
  <c r="E6" i="3"/>
  <c r="E28" i="4"/>
  <c r="E5" i="3"/>
  <c r="D36" i="1"/>
  <c r="E36" i="1" s="1"/>
  <c r="D6" i="1"/>
  <c r="E6" i="1" s="1"/>
  <c r="D19" i="1"/>
  <c r="E19" i="1" s="1"/>
  <c r="D24" i="1"/>
  <c r="E24" i="1" s="1"/>
  <c r="D38" i="1"/>
  <c r="E38" i="1" s="1"/>
  <c r="D13" i="1"/>
  <c r="E13" i="1" s="1"/>
  <c r="D10" i="1"/>
  <c r="E10" i="1" s="1"/>
  <c r="D23" i="1"/>
  <c r="E23" i="1" s="1"/>
  <c r="D37" i="1"/>
  <c r="E37" i="1" s="1"/>
  <c r="D9" i="1"/>
  <c r="E9" i="1" s="1"/>
  <c r="D22" i="1"/>
  <c r="E22" i="1" s="1"/>
  <c r="D8" i="1"/>
  <c r="E8" i="1" s="1"/>
  <c r="D21" i="1"/>
  <c r="E21" i="1" s="1"/>
  <c r="D35" i="1"/>
  <c r="E35" i="1" s="1"/>
  <c r="D40" i="1"/>
  <c r="E40" i="1" s="1"/>
  <c r="D26" i="1"/>
  <c r="E26" i="1" s="1"/>
  <c r="D12" i="1"/>
  <c r="E12" i="1" s="1"/>
  <c r="D25" i="1"/>
  <c r="E25" i="1" s="1"/>
  <c r="D39" i="1"/>
  <c r="E39" i="1" s="1"/>
  <c r="D11" i="1"/>
  <c r="E11" i="1" s="1"/>
  <c r="E31" i="4"/>
  <c r="E33" i="4" s="1"/>
  <c r="Y22" i="2"/>
  <c r="E13" i="3"/>
  <c r="Y19" i="2"/>
  <c r="E11" i="3"/>
  <c r="Y14" i="2"/>
  <c r="E9" i="3"/>
  <c r="E7" i="3"/>
  <c r="Y10" i="2"/>
  <c r="Y7" i="2"/>
  <c r="D34" i="1"/>
  <c r="E34" i="1" s="1"/>
  <c r="D20" i="1"/>
  <c r="E20" i="1" s="1"/>
  <c r="D7" i="1"/>
  <c r="E7" i="1" s="1"/>
  <c r="F13" i="3" l="1"/>
  <c r="F14" i="3"/>
  <c r="F12" i="3"/>
  <c r="F11" i="3"/>
  <c r="F10" i="3"/>
  <c r="F9" i="3"/>
  <c r="F8" i="3"/>
  <c r="F6" i="3"/>
  <c r="F7" i="3"/>
  <c r="F5" i="3"/>
  <c r="E14" i="1"/>
  <c r="E29" i="4"/>
  <c r="D27" i="1"/>
  <c r="E27" i="1" s="1"/>
  <c r="E28" i="1" s="1"/>
  <c r="D41" i="1"/>
  <c r="E41" i="1" s="1"/>
  <c r="E42" i="1" l="1"/>
  <c r="C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5" authorId="0" shapeId="0" xr:uid="{00000000-0006-0000-0100-000001000000}">
      <text>
        <r>
          <rPr>
            <sz val="10"/>
            <rFont val="Arial"/>
            <family val="2"/>
          </rPr>
          <t>SUB: Sochi → Valencia</t>
        </r>
      </text>
    </comment>
    <comment ref="I5" authorId="0" shapeId="0" xr:uid="{00000000-0006-0000-0100-000002000000}">
      <text>
        <r>
          <rPr>
            <sz val="10"/>
            <rFont val="Arial"/>
            <family val="2"/>
          </rPr>
          <t>SUB: Monaco → Zandvoort</t>
        </r>
      </text>
    </comment>
    <comment ref="J5" authorId="0" shapeId="0" xr:uid="{00000000-0006-0000-0100-000003000000}">
      <text>
        <r>
          <rPr>
            <sz val="10"/>
            <rFont val="Arial"/>
            <family val="2"/>
          </rPr>
          <t>SUB: Baku → Fuji (lange Gerade + enger Sektor)</t>
        </r>
      </text>
    </comment>
    <comment ref="L5" authorId="0" shapeId="0" xr:uid="{00000000-0006-0000-0100-000004000000}">
      <text>
        <r>
          <rPr>
            <sz val="10"/>
            <rFont val="Arial"/>
            <family val="2"/>
          </rPr>
          <t>Spielberg — echt</t>
        </r>
      </text>
    </comment>
    <comment ref="R5" authorId="0" shapeId="0" xr:uid="{00000000-0006-0000-0100-000005000000}">
      <text>
        <r>
          <rPr>
            <sz val="10"/>
            <rFont val="Arial"/>
            <family val="2"/>
          </rPr>
          <t>SUB: Sepang → Mugello</t>
        </r>
      </text>
    </comment>
    <comment ref="T5" authorId="0" shapeId="0" xr:uid="{00000000-0006-0000-0100-000006000000}">
      <text>
        <r>
          <rPr>
            <sz val="10"/>
            <rFont val="Arial"/>
            <family val="2"/>
          </rPr>
          <t>COTA — echt</t>
        </r>
      </text>
    </comment>
    <comment ref="U5" authorId="0" shapeId="0" xr:uid="{00000000-0006-0000-0100-000007000000}">
      <text>
        <r>
          <rPr>
            <sz val="10"/>
            <rFont val="Arial"/>
            <family val="2"/>
          </rPr>
          <t>Mexico — echt (2017 im Kalender)</t>
        </r>
      </text>
    </comment>
    <comment ref="W5" authorId="0" shapeId="0" xr:uid="{00000000-0006-0000-0100-000008000000}">
      <text>
        <r>
          <rPr>
            <sz val="10"/>
            <rFont val="Arial"/>
            <family val="2"/>
          </rPr>
          <t>SUB: Yas Marina → Indianapolis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8" authorId="0" shapeId="0" xr:uid="{00000000-0006-0000-0300-000001000000}">
      <text>
        <r>
          <rPr>
            <sz val="10"/>
            <rFont val="Arial"/>
            <family val="2"/>
          </rPr>
          <t>SUB: Sochi → Valencia</t>
        </r>
      </text>
    </comment>
    <comment ref="C10" authorId="0" shapeId="0" xr:uid="{00000000-0006-0000-0300-000002000000}">
      <text>
        <r>
          <rPr>
            <sz val="10"/>
            <rFont val="Arial"/>
            <family val="2"/>
          </rPr>
          <t>SUB: Monaco → Zandvoort</t>
        </r>
      </text>
    </comment>
    <comment ref="C11" authorId="0" shapeId="0" xr:uid="{00000000-0006-0000-0300-000003000000}">
      <text>
        <r>
          <rPr>
            <sz val="10"/>
            <rFont val="Arial"/>
            <family val="2"/>
          </rPr>
          <t>SUB: Baku → Fuji (lange Gerade + enger Sektor)</t>
        </r>
      </text>
    </comment>
    <comment ref="C19" authorId="0" shapeId="0" xr:uid="{00000000-0006-0000-0300-000004000000}">
      <text>
        <r>
          <rPr>
            <sz val="10"/>
            <rFont val="Arial"/>
            <family val="2"/>
          </rPr>
          <t>SUB: Sepang → Mugello</t>
        </r>
      </text>
    </comment>
    <comment ref="C24" authorId="0" shapeId="0" xr:uid="{00000000-0006-0000-0300-000005000000}">
      <text>
        <r>
          <rPr>
            <sz val="10"/>
            <rFont val="Arial"/>
            <family val="2"/>
          </rPr>
          <t>SUB: Yas Marina → Indianapolis</t>
        </r>
      </text>
    </comment>
  </commentList>
</comments>
</file>

<file path=xl/sharedStrings.xml><?xml version="1.0" encoding="utf-8"?>
<sst xmlns="http://schemas.openxmlformats.org/spreadsheetml/2006/main" count="394" uniqueCount="238">
  <si>
    <t>🎯  ANFORDERUNGEN — McLAREN-HONDA 2017 — SABANOV (33) — VOM SCHNELLSTEN INS LANGSAMSTE</t>
  </si>
  <si>
    <t>Zweifacher Weltmeister (2014, 2015), Vize 2016 nach Motorschaden in Sepang und gehorsamem Finale in Abu Dhabi. Dann der Schock: Du verlässt Mercedes — das schnellste Auto im Feld — für McLaren-Honda, Vertrag bis mindestens 2021. Im Sky-Interview: Dank an die Mechaniker, 'Lewis' beim Vornamen, Versöhnung in Monaco, Abendessen mit Lauda in Graz. Und ein Satz, der jetzt an der Wand in Woking hängt: 'ICH werde einen Sieg einfahren!' Das Problem: Der Honda-Motor ist der schwächste und unzuverlässigste im Feld. Neues Breitbau-Reglement, mehr Abtrieb, mehr Grip — und hinten ein Antrieb, der kaum eine Renndistanz hält. Teamkollege ist Rookie Stoffel Vandoorne, nachdem Räikkönen aufgehört hat. Bottas sitzt in deinem alten Auto und will dir 'adäquat' beweisen. Die Welt schaut zu, ob ein Weltmeister im Mittelfeld die Nerven behält.</t>
  </si>
  <si>
    <t>⚠️   PFLICHT — Den Weltmeister nicht beschädigen</t>
  </si>
  <si>
    <t>#</t>
  </si>
  <si>
    <t>Ziel</t>
  </si>
  <si>
    <t>Schwelle</t>
  </si>
  <si>
    <t>Aktuell</t>
  </si>
  <si>
    <t>Status</t>
  </si>
  <si>
    <t>Q-Duell vs Vandoorne</t>
  </si>
  <si>
    <t>≥ 14 von 20</t>
  </si>
  <si>
    <t>Punkte</t>
  </si>
  <si>
    <t>≥ 10</t>
  </si>
  <si>
    <t>Punkteplätze (Top-10)</t>
  </si>
  <si>
    <t>≥ 4</t>
  </si>
  <si>
    <t>Bestes Rennergebnis</t>
  </si>
  <si>
    <t>≤ P8</t>
  </si>
  <si>
    <t>Top-10 Quali</t>
  </si>
  <si>
    <t>≥ 6 von 20</t>
  </si>
  <si>
    <t>Beendete Rennen</t>
  </si>
  <si>
    <t>≥ 12 von 20</t>
  </si>
  <si>
    <t>Eigen-DNFs</t>
  </si>
  <si>
    <t>≤ 1</t>
  </si>
  <si>
    <t>Ø Quali-Position</t>
  </si>
  <si>
    <t>≤ 13.0</t>
  </si>
  <si>
    <t>⚠️   PFLICHT-STATUS</t>
  </si>
  <si>
    <t>⚠ Pflicht-Verfehlung: Ein Rookie hält mit, kaum Punkte, Fehler aus Frust. Dann heißt es: Ohne den Mercedes ist er ein Mittelfeldfahrer — genau das, was Hamilton immer gesagt hat.</t>
  </si>
  <si>
    <t>✦   BONUS — Honda zum Laufen bringen</t>
  </si>
  <si>
    <t>≥ 16 von 20</t>
  </si>
  <si>
    <t>≥ 25</t>
  </si>
  <si>
    <t>≥ 7</t>
  </si>
  <si>
    <t>≤ P6</t>
  </si>
  <si>
    <t>≥ 10 von 20</t>
  </si>
  <si>
    <t>≤ 11.0</t>
  </si>
  <si>
    <t>0</t>
  </si>
  <si>
    <t>WM-Position</t>
  </si>
  <si>
    <t>≤ 12</t>
  </si>
  <si>
    <t>✦   BONUS-STATUS</t>
  </si>
  <si>
    <t>✦ Bonus erfüllt: Regelmäßig Punkte im schlechtesten Antrieb des Feldes. Dann weiß Zak Brown, dass er den richtigen Mann geholt hat — und Honda weiß, wer ihren Motor gerade schöner fährt, als er ist.</t>
  </si>
  <si>
    <t>👑   KRÖNUNG — Das Unmögliche</t>
  </si>
  <si>
    <t>Podien (Top-3)</t>
  </si>
  <si>
    <t>≥ 1</t>
  </si>
  <si>
    <t>≥ 50</t>
  </si>
  <si>
    <t>≥ 18 von 20</t>
  </si>
  <si>
    <t>≤ 9.5</t>
  </si>
  <si>
    <t>≤ 9</t>
  </si>
  <si>
    <t>👑   KRÖNUNG-STATUS</t>
  </si>
  <si>
    <t>👑 Krönung erfüllt: Ein Podium im McLaren-Honda 2017. Dann war der Wechsel kein Fehler, sondern die Ansage, dass Weltmeister Autos schneller machen — nicht umgekehrt.</t>
  </si>
  <si>
    <t>📊   KARRIERE-STATUS</t>
  </si>
  <si>
    <t>Aktueller Tier</t>
  </si>
  <si>
    <t>🧭   FAHRERPROFIL &amp; RATING</t>
  </si>
  <si>
    <t>⚡ SPEED (97): Bei Mercedes hat dir der Speed Poles gebracht. Bei McLaren bringt er dich in Q3 — wenn der Motor die Runde übersteht.</t>
  </si>
  <si>
    <t>⚡ RACECRAFT (94): Jetzt zählt Verteidigung. Auf jeder Geraden fehlen dir 20 km/h. Punkte holst du in den Kurven und im Positionskampf.</t>
  </si>
  <si>
    <t>⚡ ADAPTABILITY (94): Neues Team, neues Reglement, neuer Motor, neue Rolle. Mehr Umbruch auf einmal geht nicht.</t>
  </si>
  <si>
    <t>⚡ VERSATILITY (93): Regen und Chaos-Rennen sind deine besten Chancen auf große Ergebnisse.</t>
  </si>
  <si>
    <t>⚡ EXPERIENCE (95): Elftes F1-Jahr. Jetzt bist du derjenige, von dem ein Rookie lernen soll.</t>
  </si>
  <si>
    <t>🟡 SAFETY (90): Frust ist die größte Gefahr. Im Mittelfeld bist du umgeben von Fahrern, die sich gegen einen Weltmeister profilieren wollen.</t>
  </si>
  <si>
    <t>⚡ CONSISTENCY (97): Nicht mehr in Podien gemessen, sondern darin, ob du jedes Mal das Maximum aus dem Auto holst.</t>
  </si>
  <si>
    <t>🎯 VANDOORNE: GP2-Meister, schnell, ruhig, respektvoll. Für ihn bist du Lehrer und Maßstab zugleich. Schlägt er dich, ist das seine Karriere — und deine Schlagzeile.</t>
  </si>
  <si>
    <t>📜   VERTRAGS-KLAUSELN</t>
  </si>
  <si>
    <t>1. Vertrag McLaren 2017 bis mindestens 2021. Keine Ausstiegsklausel — Zak Brown hat das öffentlich bestätigt.</t>
  </si>
  <si>
    <t>2. Rolle: unumstrittene Nummer eins und Leiter der Fahrzeugentwicklung. Deine Rückmeldung bestimmt, wohin das Geld fließt.</t>
  </si>
  <si>
    <t>3. Honda-Partnerschaft: Honda zahlt einen großen Teil deines Gehalts. Öffentliche Motor-Kritik ist vertraglich untersagt.</t>
  </si>
  <si>
    <t>4. Keine Teamorder zwischen dir und Vandoorne, solange niemand um Punkte gefährdet wird.</t>
  </si>
  <si>
    <t>5. Medien: Die alte Mercedes-Medienklausel ist weg. Dafür hört Honda in Tokio bei jedem deiner Sätze mit.</t>
  </si>
  <si>
    <t>6. Material: MCL32 hat ein gutes Chassis. Der Honda-Antrieb ist langsam und unzuverlässig — Gridstrafen für Motorwechsel sind einkalkuliert.</t>
  </si>
  <si>
    <t>7. Dein öffentliches Versprechen: ein Sieg bis 2021. Daran wirst du gemessen.</t>
  </si>
  <si>
    <t>8. Perspektive: Gerüchte, dass McLaren nach 2017 den Motorenpartner wechselt. Dein Feedback wird darüber mitentscheiden.</t>
  </si>
  <si>
    <t>💀   KARRIERE-RISIKO</t>
  </si>
  <si>
    <t>Öffentliche Honda-Kritik: Ein Funkspruch wie 'GP2-Motor' oder 'Schrottkiste' ist in diesem Vertrag ein Vertragsbruch — und Honda hat ein langes Gedächtnis.</t>
  </si>
  <si>
    <t>Vandoorne: Wenn der Rookie in der Quali regelmäßig mithält, kippt die Geschichte vom 'Weltmeister, der Autos schneller macht'.</t>
  </si>
  <si>
    <t>Frust-Crashs: Im Mittelfeld wird hart gefahren. Ein Eigen-Crash aus Ungeduld kostet mehr Ruf als zehn Ausfälle durch den Motor.</t>
  </si>
  <si>
    <t>🤝   BEZIEHUNGEN IM FAHRERLAGER</t>
  </si>
  <si>
    <t>🟢 Z. Brown — RÜCKENDECKUNG</t>
  </si>
  <si>
    <t>Hat dich als Gesicht des Neuaufbaus geholt. Kurz irritiert, weil du Red Bull/Renault im Interview nicht dementiert hast.</t>
  </si>
  <si>
    <t>🟢 S. Vandoorne — NEU, Teamkollege</t>
  </si>
  <si>
    <t>Rookie, respektvoll, will von dir lernen. Hat bemerkt, dass aus 'wir' im Interview 'ICH' wurde.</t>
  </si>
  <si>
    <t>🟡 Honda — unter Druck</t>
  </si>
  <si>
    <t>Dein Siegversprechen mit ihrem Motor ist ihre Verantwortung geworden.</t>
  </si>
  <si>
    <t>🟡 L. Hamilton — versöhnt, mit Vorbehalt</t>
  </si>
  <si>
    <t>Monaco-Gespräch, Respekt ausgesprochen. 'Freunde? Mal sehen.'</t>
  </si>
  <si>
    <t>🟠 V. Bottas — leicht angefressen</t>
  </si>
  <si>
    <t>'Ich werde zeigen, wie adäquat ich bin.' Sitzt in deinem alten Mercedes.</t>
  </si>
  <si>
    <t>🟡 T. Wolff — kühl, aber fair</t>
  </si>
  <si>
    <t>Faire Erklärung nach dem Interview. Die Tür ist einen Spalt offen.</t>
  </si>
  <si>
    <t>🟢 N. Lauda — freundschaftlich</t>
  </si>
  <si>
    <t>Abendessen in Graz. 'Er hat gezahlt. Das war das erste Kluge seit seinem Wechsel.'</t>
  </si>
  <si>
    <t>🟢 Mercedes-Mechaniker — dankbar</t>
  </si>
  <si>
    <t>Foto mit beiden WM-Pokalen: 'Danke, Devin.'</t>
  </si>
  <si>
    <t>🟢 F. Alonso / S. Vettel — Ferrari</t>
  </si>
  <si>
    <t>Alonso lacht immer noch über 'McLaren ist schwach'. Beide freuen sich über dein Lob.</t>
  </si>
  <si>
    <t>🔴 N. Rosberg — verbittert, Renault</t>
  </si>
  <si>
    <t>Immer noch im Auto, das er nie wollte. Jetzt mit dir im selben Mittelfeld.</t>
  </si>
  <si>
    <t>Rivalitäten und Freundschaften entstehen aus Zwischenfällen auf der Strecke und Interview-Aussagen in der Notizspalte.</t>
  </si>
  <si>
    <t>📥   EINGABE-KONVENTIONEN</t>
  </si>
  <si>
    <t>Fahrerwertung: Zahl = Endposition · "DNF"/leer = nicht beendet · Punkte 25/18/15/12/10/8/6/4/2/1 (Top 10).</t>
  </si>
  <si>
    <t>Quali &amp; Notizen: "Quali" und "Vandoorne Q" als Quali-Position · Q-Duell automatisch · Eigen? = "Y"/"N".</t>
  </si>
  <si>
    <t>Medaillen: Gold/Silber/Bronze (P1-3), Hellblau (P4-6), Helltürkis (P7-10), Rot (DNF).</t>
  </si>
  <si>
    <t>SUB-Strecken: R4 Sochi→Valencia · R6 Monaco→Zandvoort · R7 Baku→Fuji · R15 Sepang→Mugello · R20 Yas Marina→Indianapolis. Mexico ist 2017 echt.</t>
  </si>
  <si>
    <t>Motorschäden, Gridstrafen, Funksprüche (vor allem über Honda!) und Interviews bitte in die Notizspalte. DNF-Grund immer eintragen — 2017 wird es viele geben.</t>
  </si>
  <si>
    <t>🏁  2017 — FAHRERWERTUNG</t>
  </si>
  <si>
    <t>Position eintragen · Punkte 25/18/15/12/10/8/6/4/2/1 · "DNF"/leer = nicht beendet · Pfirsich = SUB-Strecke · 20 Rennen</t>
  </si>
  <si>
    <t>Fahrer</t>
  </si>
  <si>
    <t>Team</t>
  </si>
  <si>
    <t>R1</t>
  </si>
  <si>
    <t>R2</t>
  </si>
  <si>
    <t>R3</t>
  </si>
  <si>
    <t>R4</t>
  </si>
  <si>
    <t>R5</t>
  </si>
  <si>
    <t>R6</t>
  </si>
  <si>
    <t>R7</t>
  </si>
  <si>
    <t>R8</t>
  </si>
  <si>
    <t>R9</t>
  </si>
  <si>
    <t>R10</t>
  </si>
  <si>
    <t>R11</t>
  </si>
  <si>
    <t>R12</t>
  </si>
  <si>
    <t>R13</t>
  </si>
  <si>
    <t>R14</t>
  </si>
  <si>
    <t>R15</t>
  </si>
  <si>
    <t>R16</t>
  </si>
  <si>
    <t>R17</t>
  </si>
  <si>
    <t>R18</t>
  </si>
  <si>
    <t>R19</t>
  </si>
  <si>
    <t>R20</t>
  </si>
  <si>
    <t>Pos</t>
  </si>
  <si>
    <t>Melbourne</t>
  </si>
  <si>
    <t>Shanghai</t>
  </si>
  <si>
    <t>Bahrain</t>
  </si>
  <si>
    <t>Valencia</t>
  </si>
  <si>
    <t>Barcelona</t>
  </si>
  <si>
    <t>Zandvoort</t>
  </si>
  <si>
    <t>Fuji</t>
  </si>
  <si>
    <t>Montreal</t>
  </si>
  <si>
    <t>Spielberg</t>
  </si>
  <si>
    <t>Silverstone</t>
  </si>
  <si>
    <t>Hungaroring</t>
  </si>
  <si>
    <t>Spa</t>
  </si>
  <si>
    <t>Monza</t>
  </si>
  <si>
    <t>Singapur</t>
  </si>
  <si>
    <t>Mugello</t>
  </si>
  <si>
    <t>Suzuka</t>
  </si>
  <si>
    <t>COTA</t>
  </si>
  <si>
    <t>Mexico</t>
  </si>
  <si>
    <t>Interlagos</t>
  </si>
  <si>
    <t>Indianapolis</t>
  </si>
  <si>
    <t>S. Vandoorne</t>
  </si>
  <si>
    <t>McLaren-Honda</t>
  </si>
  <si>
    <t>SABANOV</t>
  </si>
  <si>
    <t>L. Hamilton</t>
  </si>
  <si>
    <t>Mercedes</t>
  </si>
  <si>
    <t>V. Bottas</t>
  </si>
  <si>
    <t>S. Vettel</t>
  </si>
  <si>
    <t>Ferrari</t>
  </si>
  <si>
    <t>F. Alonso</t>
  </si>
  <si>
    <t>D. Ricciardo</t>
  </si>
  <si>
    <t>Red Bull-TAG Heuer</t>
  </si>
  <si>
    <t>M. Verstappen</t>
  </si>
  <si>
    <t>S. Pérez</t>
  </si>
  <si>
    <t>Force India-Mercedes</t>
  </si>
  <si>
    <t>E. Ocon</t>
  </si>
  <si>
    <t>F. Massa</t>
  </si>
  <si>
    <t>Williams-Mercedes</t>
  </si>
  <si>
    <t>L. Stroll</t>
  </si>
  <si>
    <t>N. Hülkenberg</t>
  </si>
  <si>
    <t>Renault</t>
  </si>
  <si>
    <t>N. Rosberg</t>
  </si>
  <si>
    <t>C. Sainz</t>
  </si>
  <si>
    <t>Toro Rosso-Renault</t>
  </si>
  <si>
    <t>D. Kvyat</t>
  </si>
  <si>
    <t>R. Grosjean</t>
  </si>
  <si>
    <t>Haas-Ferrari</t>
  </si>
  <si>
    <t>K. Magnussen</t>
  </si>
  <si>
    <t>P. Wehrlein</t>
  </si>
  <si>
    <t>Sauber-Ferrari</t>
  </si>
  <si>
    <t>M. Ericsson</t>
  </si>
  <si>
    <t>🏗️  2017 — KONSTRUKTEURSWERTUNG</t>
  </si>
  <si>
    <t>Fahrer 1</t>
  </si>
  <si>
    <t>Fahrer 2</t>
  </si>
  <si>
    <t>📋  2017 — QUALI &amp; RENN-NOTIZEN</t>
  </si>
  <si>
    <t>Quali, Wetter, DNF-Grund, Eigen-Verschulden, Vandoorne-Quali, Notiz (inkl. INTERVIEWS &amp; Zweikämpfe). 20 Rennen.</t>
  </si>
  <si>
    <t>Rennen</t>
  </si>
  <si>
    <t>Land</t>
  </si>
  <si>
    <t>Strecke</t>
  </si>
  <si>
    <t>Quali</t>
  </si>
  <si>
    <t>Renn-Pos</t>
  </si>
  <si>
    <t>Wetter</t>
  </si>
  <si>
    <t>Pole?</t>
  </si>
  <si>
    <t>DNF-Grund</t>
  </si>
  <si>
    <t>Eigen?</t>
  </si>
  <si>
    <t>Vandoorne Q</t>
  </si>
  <si>
    <t>Q-Duell</t>
  </si>
  <si>
    <t>Notiz / Schlagzeile / Interview</t>
  </si>
  <si>
    <t>Australien</t>
  </si>
  <si>
    <t>China</t>
  </si>
  <si>
    <t>Russland</t>
  </si>
  <si>
    <t>Spanien</t>
  </si>
  <si>
    <t>Monaco</t>
  </si>
  <si>
    <t>Aserbaidschan</t>
  </si>
  <si>
    <t>Kanada</t>
  </si>
  <si>
    <t>Österreich</t>
  </si>
  <si>
    <t>Großbritannien</t>
  </si>
  <si>
    <t>Ungarn</t>
  </si>
  <si>
    <t>Belgien</t>
  </si>
  <si>
    <t>Italien</t>
  </si>
  <si>
    <t>Singapur (Nacht)</t>
  </si>
  <si>
    <t>Malaysia</t>
  </si>
  <si>
    <t>Japan</t>
  </si>
  <si>
    <t>USA (Austin)</t>
  </si>
  <si>
    <t>Mexiko</t>
  </si>
  <si>
    <t>Brasilien</t>
  </si>
  <si>
    <t>Abu Dhabi (Finale)</t>
  </si>
  <si>
    <t>📊   SAISON-BILANZ (auto)</t>
  </si>
  <si>
    <t>Punkte gesamt</t>
  </si>
  <si>
    <t>DNFs</t>
  </si>
  <si>
    <t xml:space="preserve">  davon Eigen-DNFs</t>
  </si>
  <si>
    <t xml:space="preserve">  davon Technik/Fremd</t>
  </si>
  <si>
    <t>Siege</t>
  </si>
  <si>
    <t>Bestes Quali-Ergebnis</t>
  </si>
  <si>
    <t>Ø Quali SABANOV</t>
  </si>
  <si>
    <t>Ø Quali VANDOORNE</t>
  </si>
  <si>
    <t>Q-Duell — SABANOV-Siege</t>
  </si>
  <si>
    <t>Q-Duell — VANDOORNE-Siege</t>
  </si>
  <si>
    <t>Q-Duell — Ties</t>
  </si>
  <si>
    <t>Top-10 Finishes</t>
  </si>
  <si>
    <t>Poles</t>
  </si>
  <si>
    <t>DNF</t>
  </si>
  <si>
    <t>Motor</t>
  </si>
  <si>
    <t>"Sabanov gets into Q3 for the first time with McLaren. And a 1 point finish in P10 in the end!"</t>
  </si>
  <si>
    <t>"SABANOV INTO Q2… WITH HELP OF HAMILTON? He gives him a Big Tow!"</t>
  </si>
  <si>
    <t>"Sabanov congratulates Hamilton in Media interview for the win in Shanghai"</t>
  </si>
  <si>
    <t>"Sabanov into Q3 and into the Points at Monaco for McLaren."</t>
  </si>
  <si>
    <t>"Vandoorne with Points in Baku! Sabanov out again with engine failure"</t>
  </si>
  <si>
    <t>DNQ</t>
  </si>
  <si>
    <t>VANDOORNE</t>
  </si>
  <si>
    <t>"Sabanov cant Qualify due to Engine problems, but is permitted to start on Sunday and gets good Positions"</t>
  </si>
  <si>
    <t>"SABANOV WITH A BRILLIANT AND PERFECT QUALIFYING LAP IN HUNGARY! INCREDIBLE!"</t>
  </si>
  <si>
    <t>"SABANOV DOES THE IMPOSSIBLE! RAIN POLE IN SINGAPORE! AHEAD OF EVERYONE ELSE!!!!!! AND GFTS FIRST MCLAREN PODIUM! THIS IS WHAT HE PROMISED!"</t>
  </si>
  <si>
    <t>"Sabanov Ends 2017 on Q3… Alonso World Champion! Retires! Ferrari bring Rosberg as Second driver into Ferrari!"</t>
  </si>
  <si>
    <t>"vandoorne beats Sabanov for 2nd time in Qualifying"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</si>
</sst>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FFFFFF"/>
      <name val="Arial"/>
      <charset val="1"/>
    </font>
    <font>
      <sz val="10"/>
      <color rgb="FF37474F"/>
      <name val="Arial"/>
      <charset val="1"/>
    </font>
    <font>
      <b/>
      <sz val="11"/>
      <color rgb="FFFFFFFF"/>
      <name val="Arial"/>
      <charset val="1"/>
    </font>
    <font>
      <b/>
      <sz val="10"/>
      <color rgb="FFFFFFFF"/>
      <name val="Arial"/>
      <charset val="1"/>
    </font>
    <font>
      <sz val="10"/>
      <name val="Arial"/>
      <charset val="1"/>
    </font>
    <font>
      <b/>
      <sz val="10"/>
      <name val="Arial"/>
      <charset val="1"/>
    </font>
    <font>
      <i/>
      <sz val="9"/>
      <color rgb="FF37474F"/>
      <name val="Arial"/>
      <charset val="1"/>
    </font>
    <font>
      <sz val="9"/>
      <name val="Arial"/>
      <charset val="1"/>
    </font>
    <font>
      <sz val="9"/>
      <color rgb="FF546E7A"/>
      <name val="Arial"/>
      <charset val="1"/>
    </font>
    <font>
      <b/>
      <sz val="9"/>
      <name val="Arial"/>
      <charset val="1"/>
    </font>
    <font>
      <sz val="10"/>
      <name val="Arial"/>
      <family val="2"/>
    </font>
  </fonts>
  <fills count="14">
    <fill>
      <patternFill patternType="none"/>
    </fill>
    <fill>
      <patternFill patternType="gray125"/>
    </fill>
    <fill>
      <patternFill patternType="solid">
        <fgColor rgb="FF0D47A1"/>
        <bgColor rgb="FF333399"/>
      </patternFill>
    </fill>
    <fill>
      <patternFill patternType="solid">
        <fgColor rgb="FFC62828"/>
        <bgColor rgb="FF993366"/>
      </patternFill>
    </fill>
    <fill>
      <patternFill patternType="solid">
        <fgColor rgb="FF546E7A"/>
        <bgColor rgb="FF808080"/>
      </patternFill>
    </fill>
    <fill>
      <patternFill patternType="solid">
        <fgColor rgb="FFECEFF1"/>
        <bgColor rgb="FFFFFFFF"/>
      </patternFill>
    </fill>
    <fill>
      <patternFill patternType="solid">
        <fgColor rgb="FF37474F"/>
        <bgColor rgb="FF1B5E20"/>
      </patternFill>
    </fill>
    <fill>
      <patternFill patternType="solid">
        <fgColor rgb="FFCFD8DC"/>
        <bgColor rgb="FFC8E6C9"/>
      </patternFill>
    </fill>
    <fill>
      <patternFill patternType="solid">
        <fgColor rgb="FF00695C"/>
        <bgColor rgb="FF008080"/>
      </patternFill>
    </fill>
    <fill>
      <patternFill patternType="solid">
        <fgColor rgb="FFF57C00"/>
        <bgColor rgb="FFCD7F32"/>
      </patternFill>
    </fill>
    <fill>
      <patternFill patternType="solid">
        <fgColor rgb="FFC8E6C9"/>
        <bgColor rgb="FFCFD8DC"/>
      </patternFill>
    </fill>
    <fill>
      <patternFill patternType="solid">
        <fgColor rgb="FFFFF9C4"/>
        <bgColor rgb="FFFFFF99"/>
      </patternFill>
    </fill>
    <fill>
      <patternFill patternType="solid">
        <fgColor rgb="FFFFE0B2"/>
        <bgColor rgb="FFFFCDD2"/>
      </patternFill>
    </fill>
    <fill>
      <patternFill patternType="solid">
        <fgColor rgb="FFFFCDD2"/>
        <bgColor rgb="FFFFE0B2"/>
      </patternFill>
    </fill>
  </fills>
  <borders count="3">
    <border>
      <left/>
      <right/>
      <top/>
      <bottom/>
      <diagonal/>
    </border>
    <border>
      <left style="thin">
        <color rgb="FFB0BEC5"/>
      </left>
      <right style="thin">
        <color rgb="FFB0BEC5"/>
      </right>
      <top style="thin">
        <color rgb="FFB0BEC5"/>
      </top>
      <bottom style="thin">
        <color rgb="FFB0BEC5"/>
      </bottom>
      <diagonal/>
    </border>
    <border>
      <left style="thin">
        <color rgb="FFB0BEC5"/>
      </left>
      <right/>
      <top style="thin">
        <color rgb="FFB0BEC5"/>
      </top>
      <bottom style="thin">
        <color rgb="FFB0BEC5"/>
      </bottom>
      <diagonal/>
    </border>
  </borders>
  <cellStyleXfs count="1">
    <xf numFmtId="0" fontId="0" fillId="0" borderId="0"/>
  </cellStyleXfs>
  <cellXfs count="38">
    <xf numFmtId="0" fontId="0" fillId="0" borderId="0" xfId="0"/>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5" fillId="11"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7"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left" vertical="center" wrapText="1"/>
    </xf>
    <xf numFmtId="0" fontId="3" fillId="3" borderId="0" xfId="0" applyFont="1" applyFill="1" applyAlignment="1">
      <alignment horizontal="center" vertical="center" wrapText="1"/>
    </xf>
    <xf numFmtId="0" fontId="4" fillId="6" borderId="2" xfId="0" applyFont="1" applyFill="1" applyBorder="1" applyAlignment="1">
      <alignment horizontal="center" vertical="center" wrapText="1"/>
    </xf>
    <xf numFmtId="0" fontId="7" fillId="7" borderId="0" xfId="0" applyFont="1" applyFill="1" applyAlignment="1">
      <alignment horizontal="left"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0" fontId="3" fillId="6" borderId="0" xfId="0" applyFont="1" applyFill="1" applyAlignment="1">
      <alignment horizontal="center" vertical="center" wrapText="1"/>
    </xf>
    <xf numFmtId="0" fontId="6" fillId="7" borderId="2" xfId="0" applyFont="1" applyFill="1" applyBorder="1" applyAlignment="1">
      <alignment horizontal="center" vertical="center" wrapText="1"/>
    </xf>
    <xf numFmtId="0" fontId="6" fillId="10"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8" fillId="12" borderId="2"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7" fillId="0" borderId="0" xfId="0" applyFont="1" applyAlignment="1">
      <alignment horizontal="left" vertical="center" wrapText="1"/>
    </xf>
    <xf numFmtId="0" fontId="6" fillId="0" borderId="2" xfId="0" applyFont="1" applyBorder="1" applyAlignment="1">
      <alignment horizontal="left" vertical="center" wrapText="1"/>
    </xf>
  </cellXfs>
  <cellStyles count="1">
    <cellStyle name="Standard" xfId="0" builtinId="0"/>
  </cellStyles>
  <dxfs count="18">
    <dxf>
      <font>
        <b/>
        <color rgb="FF000000"/>
        <name val="Arial"/>
        <charset val="1"/>
      </font>
      <fill>
        <patternFill>
          <bgColor rgb="FFE57373"/>
        </patternFill>
      </fill>
    </dxf>
    <dxf>
      <font>
        <b/>
        <color rgb="FF000000"/>
        <name val="Arial"/>
        <charset val="1"/>
      </font>
      <fill>
        <patternFill>
          <bgColor rgb="FFB2DFDB"/>
        </patternFill>
      </fill>
    </dxf>
    <dxf>
      <font>
        <b/>
        <color rgb="FF000000"/>
        <name val="Arial"/>
        <charset val="1"/>
      </font>
      <fill>
        <patternFill>
          <bgColor rgb="FF64B5F6"/>
        </patternFill>
      </fill>
    </dxf>
    <dxf>
      <font>
        <b/>
        <color rgb="FF000000"/>
        <name val="Arial"/>
        <charset val="1"/>
      </font>
      <fill>
        <patternFill>
          <bgColor rgb="FFCD7F32"/>
        </patternFill>
      </fill>
    </dxf>
    <dxf>
      <font>
        <b/>
        <color rgb="FF000000"/>
        <name val="Arial"/>
        <charset val="1"/>
      </font>
      <fill>
        <patternFill>
          <bgColor rgb="FFBDBDBD"/>
        </patternFill>
      </fill>
    </dxf>
    <dxf>
      <font>
        <b/>
        <color rgb="FF000000"/>
        <name val="Arial"/>
        <charset val="1"/>
      </font>
      <fill>
        <patternFill>
          <bgColor rgb="FFFFD700"/>
        </patternFill>
      </fill>
    </dxf>
    <dxf>
      <font>
        <b/>
        <color rgb="FF000000"/>
        <name val="Arial"/>
        <charset val="1"/>
      </font>
      <fill>
        <patternFill>
          <bgColor rgb="FFE57373"/>
        </patternFill>
      </fill>
    </dxf>
    <dxf>
      <font>
        <b/>
        <color rgb="FF000000"/>
        <name val="Arial"/>
        <charset val="1"/>
      </font>
      <fill>
        <patternFill>
          <bgColor rgb="FFB2DFDB"/>
        </patternFill>
      </fill>
    </dxf>
    <dxf>
      <font>
        <b/>
        <color rgb="FF000000"/>
        <name val="Arial"/>
        <charset val="1"/>
      </font>
      <fill>
        <patternFill>
          <bgColor rgb="FF64B5F6"/>
        </patternFill>
      </fill>
    </dxf>
    <dxf>
      <font>
        <b/>
        <color rgb="FF000000"/>
        <name val="Arial"/>
        <charset val="1"/>
      </font>
      <fill>
        <patternFill>
          <bgColor rgb="FFCD7F32"/>
        </patternFill>
      </fill>
    </dxf>
    <dxf>
      <font>
        <b/>
        <color rgb="FF000000"/>
        <name val="Arial"/>
        <charset val="1"/>
      </font>
      <fill>
        <patternFill>
          <bgColor rgb="FFBDBDBD"/>
        </patternFill>
      </fill>
    </dxf>
    <dxf>
      <font>
        <b/>
        <color rgb="FF000000"/>
        <name val="Arial"/>
        <charset val="1"/>
      </font>
      <fill>
        <patternFill>
          <bgColor rgb="FFFFD700"/>
        </patternFill>
      </fill>
    </dxf>
    <dxf>
      <font>
        <b/>
        <color rgb="FFC62828"/>
        <name val="Arial"/>
        <charset val="1"/>
      </font>
    </dxf>
    <dxf>
      <font>
        <b/>
        <color rgb="FF1B5E20"/>
        <name val="Arial"/>
        <charset val="1"/>
      </font>
    </dxf>
    <dxf>
      <font>
        <b/>
        <color rgb="FFC62828"/>
        <name val="Arial"/>
        <charset val="1"/>
      </font>
    </dxf>
    <dxf>
      <font>
        <b/>
        <color rgb="FF1B5E20"/>
        <name val="Arial"/>
        <charset val="1"/>
      </font>
    </dxf>
    <dxf>
      <font>
        <b/>
        <color rgb="FFC62828"/>
        <name val="Arial"/>
        <charset val="1"/>
      </font>
    </dxf>
    <dxf>
      <font>
        <b/>
        <color rgb="FF1B5E20"/>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695C"/>
      <rgbColor rgb="FFBDBDBD"/>
      <rgbColor rgb="FF808080"/>
      <rgbColor rgb="FFB0BEC5"/>
      <rgbColor rgb="FF993366"/>
      <rgbColor rgb="FFFFF9C4"/>
      <rgbColor rgb="FFECEFF1"/>
      <rgbColor rgb="FF660066"/>
      <rgbColor rgb="FFE57373"/>
      <rgbColor rgb="FF0066CC"/>
      <rgbColor rgb="FFCFD8DC"/>
      <rgbColor rgb="FF000080"/>
      <rgbColor rgb="FFFF00FF"/>
      <rgbColor rgb="FFFFFF00"/>
      <rgbColor rgb="FF00FFFF"/>
      <rgbColor rgb="FF800080"/>
      <rgbColor rgb="FF800000"/>
      <rgbColor rgb="FF008080"/>
      <rgbColor rgb="FF0000FF"/>
      <rgbColor rgb="FF00CCFF"/>
      <rgbColor rgb="FFCCFFFF"/>
      <rgbColor rgb="FFC8E6C9"/>
      <rgbColor rgb="FFFFFF99"/>
      <rgbColor rgb="FFB2DFDB"/>
      <rgbColor rgb="FFFFCDD2"/>
      <rgbColor rgb="FFCC99FF"/>
      <rgbColor rgb="FFFFE0B2"/>
      <rgbColor rgb="FF3366FF"/>
      <rgbColor rgb="FF64B5F6"/>
      <rgbColor rgb="FF99CC00"/>
      <rgbColor rgb="FFFFD700"/>
      <rgbColor rgb="FFCD7F32"/>
      <rgbColor rgb="FFF57C00"/>
      <rgbColor rgb="FF546E7A"/>
      <rgbColor rgb="FF969696"/>
      <rgbColor rgb="FF0D47A1"/>
      <rgbColor rgb="FF339966"/>
      <rgbColor rgb="FF003300"/>
      <rgbColor rgb="FF333300"/>
      <rgbColor rgb="FFC62828"/>
      <rgbColor rgb="FF993366"/>
      <rgbColor rgb="FF33339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47A1"/>
  </sheetPr>
  <dimension ref="A1:Y25"/>
  <sheetViews>
    <sheetView showGridLines="0" zoomScaleNormal="100" workbookViewId="0">
      <pane xSplit="3" ySplit="5" topLeftCell="D6" activePane="bottomRight" state="frozen"/>
      <selection pane="topRight" activeCell="D1" sqref="D1"/>
      <selection pane="bottomLeft" activeCell="A6" sqref="A6"/>
      <selection pane="bottomRight" activeCell="E37" sqref="E37"/>
    </sheetView>
  </sheetViews>
  <sheetFormatPr baseColWidth="10" defaultColWidth="8.7109375" defaultRowHeight="15" x14ac:dyDescent="0.25"/>
  <cols>
    <col min="1" max="1" width="4" customWidth="1"/>
    <col min="2" max="2" width="28" customWidth="1"/>
    <col min="3" max="3" width="22" customWidth="1"/>
    <col min="4" max="25" width="9" customWidth="1"/>
  </cols>
  <sheetData>
    <row r="1" spans="1:25" ht="19.7" customHeight="1" x14ac:dyDescent="0.25">
      <c r="A1" s="19" t="s">
        <v>99</v>
      </c>
      <c r="B1" s="19"/>
      <c r="C1" s="19"/>
      <c r="D1" s="19"/>
      <c r="E1" s="19"/>
      <c r="F1" s="19"/>
      <c r="G1" s="19"/>
      <c r="H1" s="19"/>
      <c r="I1" s="19"/>
      <c r="J1" s="19"/>
      <c r="K1" s="19"/>
      <c r="L1" s="19"/>
      <c r="M1" s="19"/>
      <c r="N1" s="19"/>
      <c r="O1" s="19"/>
      <c r="P1" s="19"/>
      <c r="Q1" s="19"/>
      <c r="R1" s="19"/>
      <c r="S1" s="19"/>
      <c r="T1" s="19"/>
      <c r="U1" s="19"/>
      <c r="V1" s="19"/>
      <c r="W1" s="19"/>
      <c r="X1" s="19"/>
      <c r="Y1" s="19"/>
    </row>
    <row r="2" spans="1:25" ht="15" customHeight="1" x14ac:dyDescent="0.25">
      <c r="A2" s="20" t="s">
        <v>100</v>
      </c>
      <c r="B2" s="20"/>
      <c r="C2" s="20"/>
      <c r="D2" s="20"/>
      <c r="E2" s="20"/>
      <c r="F2" s="20"/>
      <c r="G2" s="20"/>
      <c r="H2" s="20"/>
      <c r="I2" s="20"/>
      <c r="J2" s="20"/>
      <c r="K2" s="20"/>
      <c r="L2" s="20"/>
      <c r="M2" s="20"/>
      <c r="N2" s="20"/>
      <c r="O2" s="20"/>
      <c r="P2" s="20"/>
      <c r="Q2" s="20"/>
      <c r="R2" s="20"/>
      <c r="S2" s="20"/>
      <c r="T2" s="20"/>
      <c r="U2" s="20"/>
      <c r="V2" s="20"/>
      <c r="W2" s="20"/>
      <c r="X2" s="20"/>
      <c r="Y2" s="20"/>
    </row>
    <row r="4" spans="1:25" x14ac:dyDescent="0.25">
      <c r="A4" s="1" t="s">
        <v>3</v>
      </c>
      <c r="B4" s="2" t="s">
        <v>101</v>
      </c>
      <c r="C4" s="2" t="s">
        <v>102</v>
      </c>
      <c r="D4" s="1" t="s">
        <v>103</v>
      </c>
      <c r="E4" s="1" t="s">
        <v>104</v>
      </c>
      <c r="F4" s="1" t="s">
        <v>105</v>
      </c>
      <c r="G4" s="1" t="s">
        <v>106</v>
      </c>
      <c r="H4" s="1" t="s">
        <v>107</v>
      </c>
      <c r="I4" s="1" t="s">
        <v>108</v>
      </c>
      <c r="J4" s="1" t="s">
        <v>109</v>
      </c>
      <c r="K4" s="1" t="s">
        <v>110</v>
      </c>
      <c r="L4" s="1" t="s">
        <v>111</v>
      </c>
      <c r="M4" s="1" t="s">
        <v>112</v>
      </c>
      <c r="N4" s="1" t="s">
        <v>113</v>
      </c>
      <c r="O4" s="1" t="s">
        <v>114</v>
      </c>
      <c r="P4" s="1" t="s">
        <v>115</v>
      </c>
      <c r="Q4" s="1" t="s">
        <v>116</v>
      </c>
      <c r="R4" s="1" t="s">
        <v>117</v>
      </c>
      <c r="S4" s="1" t="s">
        <v>118</v>
      </c>
      <c r="T4" s="1" t="s">
        <v>119</v>
      </c>
      <c r="U4" s="1" t="s">
        <v>120</v>
      </c>
      <c r="V4" s="1" t="s">
        <v>121</v>
      </c>
      <c r="W4" s="1" t="s">
        <v>122</v>
      </c>
      <c r="X4" s="1" t="s">
        <v>10</v>
      </c>
      <c r="Y4" s="1" t="s">
        <v>123</v>
      </c>
    </row>
    <row r="5" spans="1:25" ht="24" x14ac:dyDescent="0.25">
      <c r="D5" s="8" t="s">
        <v>124</v>
      </c>
      <c r="E5" s="8" t="s">
        <v>125</v>
      </c>
      <c r="F5" s="8" t="s">
        <v>126</v>
      </c>
      <c r="G5" s="9" t="s">
        <v>127</v>
      </c>
      <c r="H5" s="8" t="s">
        <v>128</v>
      </c>
      <c r="I5" s="9" t="s">
        <v>129</v>
      </c>
      <c r="J5" s="9" t="s">
        <v>130</v>
      </c>
      <c r="K5" s="8" t="s">
        <v>131</v>
      </c>
      <c r="L5" s="8" t="s">
        <v>132</v>
      </c>
      <c r="M5" s="8" t="s">
        <v>133</v>
      </c>
      <c r="N5" s="8" t="s">
        <v>134</v>
      </c>
      <c r="O5" s="8" t="s">
        <v>135</v>
      </c>
      <c r="P5" s="8" t="s">
        <v>136</v>
      </c>
      <c r="Q5" s="8" t="s">
        <v>137</v>
      </c>
      <c r="R5" s="9" t="s">
        <v>138</v>
      </c>
      <c r="S5" s="8" t="s">
        <v>139</v>
      </c>
      <c r="T5" s="8" t="s">
        <v>140</v>
      </c>
      <c r="U5" s="8" t="s">
        <v>141</v>
      </c>
      <c r="V5" s="8" t="s">
        <v>142</v>
      </c>
      <c r="W5" s="9" t="s">
        <v>143</v>
      </c>
    </row>
    <row r="6" spans="1:25" x14ac:dyDescent="0.25">
      <c r="A6" s="3">
        <v>1</v>
      </c>
      <c r="B6" s="10" t="s">
        <v>144</v>
      </c>
      <c r="C6" s="10" t="s">
        <v>145</v>
      </c>
      <c r="D6" s="11">
        <v>14</v>
      </c>
      <c r="E6" s="11" t="s">
        <v>224</v>
      </c>
      <c r="F6" s="11">
        <v>13</v>
      </c>
      <c r="G6" s="11">
        <v>10</v>
      </c>
      <c r="H6" s="11">
        <v>9</v>
      </c>
      <c r="I6" s="11">
        <v>16</v>
      </c>
      <c r="J6" s="11">
        <v>8</v>
      </c>
      <c r="K6" s="11">
        <v>17</v>
      </c>
      <c r="L6" s="11">
        <v>11</v>
      </c>
      <c r="M6" s="11">
        <v>12</v>
      </c>
      <c r="N6" s="11">
        <v>8</v>
      </c>
      <c r="O6" s="11">
        <v>14</v>
      </c>
      <c r="P6" s="11">
        <v>18</v>
      </c>
      <c r="Q6" s="11">
        <v>7</v>
      </c>
      <c r="R6" s="11">
        <v>10</v>
      </c>
      <c r="S6" s="11">
        <v>14</v>
      </c>
      <c r="T6" s="11" t="s">
        <v>224</v>
      </c>
      <c r="U6" s="11">
        <v>15</v>
      </c>
      <c r="V6" s="11">
        <v>16</v>
      </c>
      <c r="W6" s="11">
        <v>14</v>
      </c>
      <c r="X6" s="5">
        <f t="shared" ref="X6:X25" si="0">COUNTIF(D6:W6,1)*25+COUNTIF(D6:W6,2)*18+COUNTIF(D6:W6,3)*15+COUNTIF(D6:W6,4)*12+COUNTIF(D6:W6,5)*10+COUNTIF(D6:W6,6)*8+COUNTIF(D6:W6,7)*6+COUNTIF(D6:W6,8)*4+COUNTIF(D6:W6,9)*2+COUNTIF(D6:W6,10)*1</f>
        <v>18</v>
      </c>
      <c r="Y6" s="5">
        <f t="shared" ref="Y6:Y25" si="1">IF(X6=0,"-",RANK(X6,$X$6:$X$25,0))</f>
        <v>15</v>
      </c>
    </row>
    <row r="7" spans="1:25" x14ac:dyDescent="0.25">
      <c r="A7" s="12">
        <v>2</v>
      </c>
      <c r="B7" s="13" t="s">
        <v>146</v>
      </c>
      <c r="C7" s="13" t="s">
        <v>145</v>
      </c>
      <c r="D7" s="12">
        <v>8</v>
      </c>
      <c r="E7" s="12">
        <v>6</v>
      </c>
      <c r="F7" s="12">
        <v>11</v>
      </c>
      <c r="G7" s="12" t="s">
        <v>224</v>
      </c>
      <c r="H7" s="12">
        <v>10</v>
      </c>
      <c r="I7" s="12">
        <v>7</v>
      </c>
      <c r="J7" s="12" t="s">
        <v>224</v>
      </c>
      <c r="K7" s="12">
        <v>15</v>
      </c>
      <c r="L7" s="12">
        <v>10</v>
      </c>
      <c r="M7" s="12">
        <v>14</v>
      </c>
      <c r="N7" s="12">
        <v>9</v>
      </c>
      <c r="O7" s="12">
        <v>11</v>
      </c>
      <c r="P7" s="12">
        <v>16</v>
      </c>
      <c r="Q7" s="12">
        <v>3</v>
      </c>
      <c r="R7" s="12" t="s">
        <v>224</v>
      </c>
      <c r="S7" s="12">
        <v>11</v>
      </c>
      <c r="T7" s="12" t="s">
        <v>224</v>
      </c>
      <c r="U7" s="12">
        <v>13</v>
      </c>
      <c r="V7" s="12">
        <v>12</v>
      </c>
      <c r="W7" s="12" t="s">
        <v>224</v>
      </c>
      <c r="X7" s="12">
        <f t="shared" si="0"/>
        <v>37</v>
      </c>
      <c r="Y7" s="12">
        <f t="shared" si="1"/>
        <v>13</v>
      </c>
    </row>
    <row r="8" spans="1:25" x14ac:dyDescent="0.25">
      <c r="A8" s="3">
        <v>3</v>
      </c>
      <c r="B8" s="10" t="s">
        <v>147</v>
      </c>
      <c r="C8" s="10" t="s">
        <v>148</v>
      </c>
      <c r="D8" s="11">
        <v>3</v>
      </c>
      <c r="E8" s="11">
        <v>1</v>
      </c>
      <c r="F8" s="11">
        <v>2</v>
      </c>
      <c r="G8" s="11">
        <v>4</v>
      </c>
      <c r="H8" s="11">
        <v>2</v>
      </c>
      <c r="I8" s="11">
        <v>2</v>
      </c>
      <c r="J8" s="11">
        <v>1</v>
      </c>
      <c r="K8" s="11">
        <v>6</v>
      </c>
      <c r="L8" s="11">
        <v>6</v>
      </c>
      <c r="M8" s="11">
        <v>2</v>
      </c>
      <c r="N8" s="11">
        <v>3</v>
      </c>
      <c r="O8" s="11">
        <v>1</v>
      </c>
      <c r="P8" s="11">
        <v>1</v>
      </c>
      <c r="Q8" s="11">
        <v>1</v>
      </c>
      <c r="R8" s="11">
        <v>3</v>
      </c>
      <c r="S8" s="11">
        <v>5</v>
      </c>
      <c r="T8" s="11">
        <v>4</v>
      </c>
      <c r="U8" s="11">
        <v>2</v>
      </c>
      <c r="V8" s="11">
        <v>6</v>
      </c>
      <c r="W8" s="11">
        <v>4</v>
      </c>
      <c r="X8" s="5">
        <f t="shared" si="0"/>
        <v>330</v>
      </c>
      <c r="Y8" s="5">
        <f t="shared" si="1"/>
        <v>2</v>
      </c>
    </row>
    <row r="9" spans="1:25" x14ac:dyDescent="0.25">
      <c r="A9" s="3">
        <v>4</v>
      </c>
      <c r="B9" s="10" t="s">
        <v>149</v>
      </c>
      <c r="C9" s="10" t="s">
        <v>148</v>
      </c>
      <c r="D9" s="11">
        <v>5</v>
      </c>
      <c r="E9" s="11">
        <v>7</v>
      </c>
      <c r="F9" s="11">
        <v>6</v>
      </c>
      <c r="G9" s="11">
        <v>1</v>
      </c>
      <c r="H9" s="11" t="s">
        <v>224</v>
      </c>
      <c r="I9" s="11">
        <v>4</v>
      </c>
      <c r="J9" s="11">
        <v>6</v>
      </c>
      <c r="K9" s="11">
        <v>1</v>
      </c>
      <c r="L9" s="11">
        <v>4</v>
      </c>
      <c r="M9" s="11">
        <v>3</v>
      </c>
      <c r="N9" s="11">
        <v>5</v>
      </c>
      <c r="O9" s="11">
        <v>3</v>
      </c>
      <c r="P9" s="11">
        <v>2</v>
      </c>
      <c r="Q9" s="11">
        <v>4</v>
      </c>
      <c r="R9" s="11" t="s">
        <v>224</v>
      </c>
      <c r="S9" s="11">
        <v>2</v>
      </c>
      <c r="T9" s="11">
        <v>5</v>
      </c>
      <c r="U9" s="11">
        <v>4</v>
      </c>
      <c r="V9" s="11">
        <v>7</v>
      </c>
      <c r="W9" s="11">
        <v>5</v>
      </c>
      <c r="X9" s="5">
        <f t="shared" si="0"/>
        <v>232</v>
      </c>
      <c r="Y9" s="5">
        <f t="shared" si="1"/>
        <v>4</v>
      </c>
    </row>
    <row r="10" spans="1:25" x14ac:dyDescent="0.25">
      <c r="A10" s="3">
        <v>5</v>
      </c>
      <c r="B10" s="10" t="s">
        <v>150</v>
      </c>
      <c r="C10" s="10" t="s">
        <v>151</v>
      </c>
      <c r="D10" s="11">
        <v>1</v>
      </c>
      <c r="E10" s="11">
        <v>2</v>
      </c>
      <c r="F10" s="11">
        <v>4</v>
      </c>
      <c r="G10" s="11">
        <v>2</v>
      </c>
      <c r="H10" s="11">
        <v>3</v>
      </c>
      <c r="I10" s="11">
        <v>1</v>
      </c>
      <c r="J10" s="11">
        <v>7</v>
      </c>
      <c r="K10" s="11">
        <v>3</v>
      </c>
      <c r="L10" s="11">
        <v>2</v>
      </c>
      <c r="M10" s="11">
        <v>1</v>
      </c>
      <c r="N10" s="11">
        <v>1</v>
      </c>
      <c r="O10" s="11">
        <v>2</v>
      </c>
      <c r="P10" s="11">
        <v>5</v>
      </c>
      <c r="Q10" s="11" t="s">
        <v>224</v>
      </c>
      <c r="R10" s="11">
        <v>4</v>
      </c>
      <c r="S10" s="11" t="s">
        <v>224</v>
      </c>
      <c r="T10" s="11">
        <v>1</v>
      </c>
      <c r="U10" s="11">
        <v>3</v>
      </c>
      <c r="V10" s="11">
        <v>1</v>
      </c>
      <c r="W10" s="11">
        <v>3</v>
      </c>
      <c r="X10" s="5">
        <f t="shared" si="0"/>
        <v>322</v>
      </c>
      <c r="Y10" s="5">
        <f t="shared" si="1"/>
        <v>3</v>
      </c>
    </row>
    <row r="11" spans="1:25" x14ac:dyDescent="0.25">
      <c r="A11" s="3">
        <v>6</v>
      </c>
      <c r="B11" s="10" t="s">
        <v>152</v>
      </c>
      <c r="C11" s="10" t="s">
        <v>151</v>
      </c>
      <c r="D11" s="11">
        <v>2</v>
      </c>
      <c r="E11" s="11">
        <v>3</v>
      </c>
      <c r="F11" s="11">
        <v>1</v>
      </c>
      <c r="G11" s="11">
        <v>3</v>
      </c>
      <c r="H11" s="11">
        <v>1</v>
      </c>
      <c r="I11" s="11">
        <v>3</v>
      </c>
      <c r="J11" s="11" t="s">
        <v>224</v>
      </c>
      <c r="K11" s="11">
        <v>2</v>
      </c>
      <c r="L11" s="11">
        <v>1</v>
      </c>
      <c r="M11" s="11">
        <v>5</v>
      </c>
      <c r="N11" s="11">
        <v>2</v>
      </c>
      <c r="O11" s="11">
        <v>4</v>
      </c>
      <c r="P11" s="11">
        <v>3</v>
      </c>
      <c r="Q11" s="11">
        <v>2</v>
      </c>
      <c r="R11" s="11" t="s">
        <v>224</v>
      </c>
      <c r="S11" s="11">
        <v>1</v>
      </c>
      <c r="T11" s="11">
        <v>2</v>
      </c>
      <c r="U11" s="11">
        <v>1</v>
      </c>
      <c r="V11" s="11">
        <v>2</v>
      </c>
      <c r="W11" s="11">
        <v>2</v>
      </c>
      <c r="X11" s="5">
        <f t="shared" si="0"/>
        <v>333</v>
      </c>
      <c r="Y11" s="5">
        <f t="shared" si="1"/>
        <v>1</v>
      </c>
    </row>
    <row r="12" spans="1:25" x14ac:dyDescent="0.25">
      <c r="A12" s="3">
        <v>7</v>
      </c>
      <c r="B12" s="10" t="s">
        <v>153</v>
      </c>
      <c r="C12" s="10" t="s">
        <v>154</v>
      </c>
      <c r="D12" s="11">
        <v>7</v>
      </c>
      <c r="E12" s="11">
        <v>5</v>
      </c>
      <c r="F12" s="11">
        <v>3</v>
      </c>
      <c r="G12" s="11" t="s">
        <v>224</v>
      </c>
      <c r="H12" s="11" t="s">
        <v>224</v>
      </c>
      <c r="I12" s="11">
        <v>6</v>
      </c>
      <c r="J12" s="11">
        <v>2</v>
      </c>
      <c r="K12" s="11">
        <v>7</v>
      </c>
      <c r="L12" s="11">
        <v>3</v>
      </c>
      <c r="M12" s="11">
        <v>4</v>
      </c>
      <c r="N12" s="11" t="s">
        <v>224</v>
      </c>
      <c r="O12" s="11">
        <v>7</v>
      </c>
      <c r="P12" s="11">
        <v>6</v>
      </c>
      <c r="Q12" s="11">
        <v>8</v>
      </c>
      <c r="R12" s="11">
        <v>2</v>
      </c>
      <c r="S12" s="11">
        <v>4</v>
      </c>
      <c r="T12" s="11" t="s">
        <v>224</v>
      </c>
      <c r="U12" s="11" t="s">
        <v>224</v>
      </c>
      <c r="V12" s="11">
        <v>1</v>
      </c>
      <c r="W12" s="11" t="s">
        <v>224</v>
      </c>
      <c r="X12" s="5">
        <f t="shared" si="0"/>
        <v>163</v>
      </c>
      <c r="Y12" s="5">
        <f t="shared" si="1"/>
        <v>6</v>
      </c>
    </row>
    <row r="13" spans="1:25" x14ac:dyDescent="0.25">
      <c r="A13" s="3">
        <v>8</v>
      </c>
      <c r="B13" s="10" t="s">
        <v>155</v>
      </c>
      <c r="C13" s="10" t="s">
        <v>154</v>
      </c>
      <c r="D13" s="11">
        <v>4</v>
      </c>
      <c r="E13" s="11">
        <v>4</v>
      </c>
      <c r="F13" s="11" t="s">
        <v>224</v>
      </c>
      <c r="G13" s="11">
        <v>5</v>
      </c>
      <c r="H13" s="11" t="s">
        <v>224</v>
      </c>
      <c r="I13" s="11">
        <v>5</v>
      </c>
      <c r="J13" s="11" t="s">
        <v>224</v>
      </c>
      <c r="K13" s="11" t="s">
        <v>224</v>
      </c>
      <c r="L13" s="11" t="s">
        <v>224</v>
      </c>
      <c r="M13" s="11">
        <v>6</v>
      </c>
      <c r="N13" s="11">
        <v>4</v>
      </c>
      <c r="O13" s="11" t="s">
        <v>224</v>
      </c>
      <c r="P13" s="11">
        <v>4</v>
      </c>
      <c r="Q13" s="11" t="s">
        <v>224</v>
      </c>
      <c r="R13" s="11">
        <v>1</v>
      </c>
      <c r="S13" s="11">
        <v>3</v>
      </c>
      <c r="T13" s="11">
        <v>3</v>
      </c>
      <c r="U13" s="11">
        <v>3</v>
      </c>
      <c r="V13" s="11">
        <v>5</v>
      </c>
      <c r="W13" s="11">
        <v>1</v>
      </c>
      <c r="X13" s="5">
        <f t="shared" si="0"/>
        <v>181</v>
      </c>
      <c r="Y13" s="5">
        <f t="shared" si="1"/>
        <v>5</v>
      </c>
    </row>
    <row r="14" spans="1:25" x14ac:dyDescent="0.25">
      <c r="A14" s="3">
        <v>9</v>
      </c>
      <c r="B14" s="10" t="s">
        <v>156</v>
      </c>
      <c r="C14" s="10" t="s">
        <v>157</v>
      </c>
      <c r="D14" s="11">
        <v>9</v>
      </c>
      <c r="E14" s="11" t="s">
        <v>224</v>
      </c>
      <c r="F14" s="11">
        <v>5</v>
      </c>
      <c r="G14" s="11">
        <v>9</v>
      </c>
      <c r="H14" s="11">
        <v>4</v>
      </c>
      <c r="I14" s="11">
        <v>8</v>
      </c>
      <c r="J14" s="11">
        <v>9</v>
      </c>
      <c r="K14" s="11">
        <v>8</v>
      </c>
      <c r="L14" s="11">
        <v>9</v>
      </c>
      <c r="M14" s="11"/>
      <c r="N14" s="11"/>
      <c r="O14" s="11">
        <v>8</v>
      </c>
      <c r="P14" s="11">
        <v>8</v>
      </c>
      <c r="Q14" s="11">
        <v>9</v>
      </c>
      <c r="R14" s="11">
        <v>9</v>
      </c>
      <c r="S14" s="11">
        <v>7</v>
      </c>
      <c r="T14" s="11">
        <v>9</v>
      </c>
      <c r="U14" s="11">
        <v>5</v>
      </c>
      <c r="V14" s="11">
        <v>9</v>
      </c>
      <c r="W14" s="11">
        <v>8</v>
      </c>
      <c r="X14" s="5">
        <f t="shared" si="0"/>
        <v>74</v>
      </c>
      <c r="Y14" s="5">
        <f t="shared" si="1"/>
        <v>9</v>
      </c>
    </row>
    <row r="15" spans="1:25" x14ac:dyDescent="0.25">
      <c r="A15" s="3">
        <v>10</v>
      </c>
      <c r="B15" s="10" t="s">
        <v>158</v>
      </c>
      <c r="C15" s="10" t="s">
        <v>157</v>
      </c>
      <c r="D15" s="11">
        <v>6</v>
      </c>
      <c r="E15" s="11" t="s">
        <v>224</v>
      </c>
      <c r="F15" s="11" t="s">
        <v>224</v>
      </c>
      <c r="G15" s="11">
        <v>6</v>
      </c>
      <c r="H15" s="11">
        <v>8</v>
      </c>
      <c r="I15" s="11">
        <v>10</v>
      </c>
      <c r="J15" s="11">
        <v>5</v>
      </c>
      <c r="K15" s="11">
        <v>9</v>
      </c>
      <c r="L15" s="11">
        <v>7</v>
      </c>
      <c r="M15" s="11">
        <v>8</v>
      </c>
      <c r="N15" s="11"/>
      <c r="O15" s="11"/>
      <c r="P15" s="11"/>
      <c r="Q15" s="11"/>
      <c r="R15" s="11">
        <v>5</v>
      </c>
      <c r="S15" s="11">
        <v>9</v>
      </c>
      <c r="T15" s="11">
        <v>6</v>
      </c>
      <c r="U15" s="11"/>
      <c r="V15" s="11">
        <v>8</v>
      </c>
      <c r="W15" s="11">
        <v>6</v>
      </c>
      <c r="X15" s="5">
        <f t="shared" si="0"/>
        <v>75</v>
      </c>
      <c r="Y15" s="5">
        <f t="shared" si="1"/>
        <v>8</v>
      </c>
    </row>
    <row r="16" spans="1:25" x14ac:dyDescent="0.25">
      <c r="A16" s="3">
        <v>11</v>
      </c>
      <c r="B16" s="10" t="s">
        <v>159</v>
      </c>
      <c r="C16" s="10" t="s">
        <v>160</v>
      </c>
      <c r="D16" s="11"/>
      <c r="E16" s="11">
        <v>8</v>
      </c>
      <c r="F16" s="11"/>
      <c r="G16" s="11"/>
      <c r="H16" s="11">
        <v>5</v>
      </c>
      <c r="I16" s="11"/>
      <c r="J16" s="11">
        <v>3</v>
      </c>
      <c r="K16" s="11"/>
      <c r="L16" s="11">
        <v>8</v>
      </c>
      <c r="M16" s="11"/>
      <c r="N16" s="11">
        <v>7</v>
      </c>
      <c r="O16" s="11">
        <v>6</v>
      </c>
      <c r="P16" s="11">
        <v>7</v>
      </c>
      <c r="Q16" s="11"/>
      <c r="R16" s="11">
        <v>8</v>
      </c>
      <c r="S16" s="11">
        <v>6</v>
      </c>
      <c r="T16" s="11">
        <v>7</v>
      </c>
      <c r="U16" s="11">
        <v>6</v>
      </c>
      <c r="V16" s="11">
        <v>10</v>
      </c>
      <c r="W16" s="11">
        <v>9</v>
      </c>
      <c r="X16" s="5">
        <f t="shared" si="0"/>
        <v>82</v>
      </c>
      <c r="Y16" s="5">
        <f t="shared" si="1"/>
        <v>7</v>
      </c>
    </row>
    <row r="17" spans="1:25" x14ac:dyDescent="0.25">
      <c r="A17" s="3">
        <v>12</v>
      </c>
      <c r="B17" s="10" t="s">
        <v>161</v>
      </c>
      <c r="C17" s="10" t="s">
        <v>160</v>
      </c>
      <c r="D17" s="11">
        <v>10</v>
      </c>
      <c r="E17" s="11"/>
      <c r="F17" s="11"/>
      <c r="G17" s="11"/>
      <c r="H17" s="11"/>
      <c r="I17" s="11">
        <v>9</v>
      </c>
      <c r="J17" s="11">
        <v>4</v>
      </c>
      <c r="K17" s="11">
        <v>10</v>
      </c>
      <c r="L17" s="11"/>
      <c r="M17" s="11">
        <v>7</v>
      </c>
      <c r="N17" s="11">
        <v>10</v>
      </c>
      <c r="O17" s="11">
        <v>9</v>
      </c>
      <c r="P17" s="11"/>
      <c r="Q17" s="11">
        <v>5</v>
      </c>
      <c r="R17" s="11"/>
      <c r="S17" s="11">
        <v>8</v>
      </c>
      <c r="T17" s="11">
        <v>8</v>
      </c>
      <c r="U17" s="11"/>
      <c r="V17" s="11"/>
      <c r="W17" s="11"/>
      <c r="X17" s="5">
        <f t="shared" si="0"/>
        <v>43</v>
      </c>
      <c r="Y17" s="5">
        <f t="shared" si="1"/>
        <v>12</v>
      </c>
    </row>
    <row r="18" spans="1:25" x14ac:dyDescent="0.25">
      <c r="A18" s="3">
        <v>13</v>
      </c>
      <c r="B18" s="10" t="s">
        <v>162</v>
      </c>
      <c r="C18" s="10" t="s">
        <v>163</v>
      </c>
      <c r="D18" s="11"/>
      <c r="E18" s="11">
        <v>9</v>
      </c>
      <c r="F18" s="11"/>
      <c r="G18" s="11">
        <v>8</v>
      </c>
      <c r="H18" s="11"/>
      <c r="I18" s="11"/>
      <c r="J18" s="11"/>
      <c r="K18" s="11">
        <v>5</v>
      </c>
      <c r="L18" s="11"/>
      <c r="M18" s="11"/>
      <c r="N18" s="11"/>
      <c r="O18" s="11"/>
      <c r="P18" s="11">
        <v>9</v>
      </c>
      <c r="Q18" s="11">
        <v>6</v>
      </c>
      <c r="R18" s="11"/>
      <c r="S18" s="11"/>
      <c r="T18" s="11"/>
      <c r="U18" s="11">
        <v>10</v>
      </c>
      <c r="V18" s="11">
        <v>4</v>
      </c>
      <c r="W18" s="11">
        <v>7</v>
      </c>
      <c r="X18" s="5">
        <f t="shared" si="0"/>
        <v>45</v>
      </c>
      <c r="Y18" s="5">
        <f t="shared" si="1"/>
        <v>11</v>
      </c>
    </row>
    <row r="19" spans="1:25" x14ac:dyDescent="0.25">
      <c r="A19" s="3">
        <v>14</v>
      </c>
      <c r="B19" s="10" t="s">
        <v>164</v>
      </c>
      <c r="C19" s="10" t="s">
        <v>163</v>
      </c>
      <c r="D19" s="11"/>
      <c r="E19" s="11"/>
      <c r="F19" s="11"/>
      <c r="G19" s="11">
        <v>7</v>
      </c>
      <c r="H19" s="11">
        <v>6</v>
      </c>
      <c r="I19" s="11"/>
      <c r="J19" s="11">
        <v>10</v>
      </c>
      <c r="K19" s="11">
        <v>4</v>
      </c>
      <c r="L19" s="11">
        <v>5</v>
      </c>
      <c r="M19" s="11"/>
      <c r="N19" s="11"/>
      <c r="O19" s="11"/>
      <c r="P19" s="11"/>
      <c r="Q19" s="11"/>
      <c r="R19" s="11">
        <v>6</v>
      </c>
      <c r="S19" s="11">
        <v>10</v>
      </c>
      <c r="T19" s="11"/>
      <c r="U19" s="11"/>
      <c r="V19" s="11">
        <v>3</v>
      </c>
      <c r="W19" s="11"/>
      <c r="X19" s="5">
        <f t="shared" si="0"/>
        <v>61</v>
      </c>
      <c r="Y19" s="5">
        <f t="shared" si="1"/>
        <v>10</v>
      </c>
    </row>
    <row r="20" spans="1:25" x14ac:dyDescent="0.25">
      <c r="A20" s="3">
        <v>15</v>
      </c>
      <c r="B20" s="10" t="s">
        <v>165</v>
      </c>
      <c r="C20" s="10" t="s">
        <v>166</v>
      </c>
      <c r="D20" s="11"/>
      <c r="E20" s="11">
        <v>10</v>
      </c>
      <c r="F20" s="11"/>
      <c r="G20" s="11"/>
      <c r="H20" s="11"/>
      <c r="I20" s="11"/>
      <c r="J20" s="11"/>
      <c r="K20" s="11"/>
      <c r="L20" s="11"/>
      <c r="M20" s="11">
        <v>9</v>
      </c>
      <c r="N20" s="11">
        <v>6</v>
      </c>
      <c r="O20" s="11">
        <v>5</v>
      </c>
      <c r="P20" s="11">
        <v>10</v>
      </c>
      <c r="Q20" s="11"/>
      <c r="R20" s="11">
        <v>7</v>
      </c>
      <c r="S20" s="11"/>
      <c r="T20" s="11"/>
      <c r="U20" s="11">
        <v>7</v>
      </c>
      <c r="V20" s="11"/>
      <c r="W20" s="11">
        <v>10</v>
      </c>
      <c r="X20" s="5">
        <f t="shared" si="0"/>
        <v>35</v>
      </c>
      <c r="Y20" s="5">
        <f t="shared" si="1"/>
        <v>14</v>
      </c>
    </row>
    <row r="21" spans="1:25" x14ac:dyDescent="0.25">
      <c r="A21" s="3">
        <v>16</v>
      </c>
      <c r="B21" s="10" t="s">
        <v>167</v>
      </c>
      <c r="C21" s="10" t="s">
        <v>166</v>
      </c>
      <c r="D21" s="11"/>
      <c r="E21" s="11"/>
      <c r="F21" s="11"/>
      <c r="G21" s="11"/>
      <c r="H21" s="11">
        <v>7</v>
      </c>
      <c r="I21" s="11"/>
      <c r="J21" s="11"/>
      <c r="K21" s="11"/>
      <c r="L21" s="11"/>
      <c r="M21" s="11">
        <v>10</v>
      </c>
      <c r="N21" s="11"/>
      <c r="O21" s="11">
        <v>10</v>
      </c>
      <c r="P21" s="11"/>
      <c r="Q21" s="11">
        <v>10</v>
      </c>
      <c r="R21" s="11"/>
      <c r="S21" s="11"/>
      <c r="T21" s="11"/>
      <c r="U21" s="11"/>
      <c r="V21" s="11"/>
      <c r="W21" s="11"/>
      <c r="X21" s="5">
        <f t="shared" si="0"/>
        <v>9</v>
      </c>
      <c r="Y21" s="5">
        <f t="shared" si="1"/>
        <v>16</v>
      </c>
    </row>
    <row r="22" spans="1:25" x14ac:dyDescent="0.25">
      <c r="A22" s="3">
        <v>17</v>
      </c>
      <c r="B22" s="10" t="s">
        <v>168</v>
      </c>
      <c r="C22" s="10" t="s">
        <v>169</v>
      </c>
      <c r="D22" s="11"/>
      <c r="E22" s="11"/>
      <c r="F22" s="11"/>
      <c r="G22" s="11"/>
      <c r="H22" s="11"/>
      <c r="I22" s="11"/>
      <c r="J22" s="11"/>
      <c r="K22" s="11"/>
      <c r="L22" s="11"/>
      <c r="M22" s="11"/>
      <c r="N22" s="11"/>
      <c r="O22" s="11"/>
      <c r="P22" s="11"/>
      <c r="Q22" s="11"/>
      <c r="R22" s="11"/>
      <c r="S22" s="11"/>
      <c r="T22" s="11"/>
      <c r="U22" s="11">
        <v>8</v>
      </c>
      <c r="V22" s="11"/>
      <c r="W22" s="11"/>
      <c r="X22" s="5">
        <f t="shared" si="0"/>
        <v>4</v>
      </c>
      <c r="Y22" s="5">
        <f t="shared" si="1"/>
        <v>17</v>
      </c>
    </row>
    <row r="23" spans="1:25" x14ac:dyDescent="0.25">
      <c r="A23" s="3">
        <v>18</v>
      </c>
      <c r="B23" s="10" t="s">
        <v>170</v>
      </c>
      <c r="C23" s="10" t="s">
        <v>169</v>
      </c>
      <c r="D23" s="11"/>
      <c r="E23" s="11"/>
      <c r="F23" s="11"/>
      <c r="G23" s="11"/>
      <c r="H23" s="11"/>
      <c r="I23" s="11"/>
      <c r="J23" s="11"/>
      <c r="K23" s="11"/>
      <c r="L23" s="11"/>
      <c r="M23" s="11"/>
      <c r="N23" s="11"/>
      <c r="O23" s="11"/>
      <c r="P23" s="11"/>
      <c r="Q23" s="11"/>
      <c r="R23" s="11"/>
      <c r="S23" s="11"/>
      <c r="T23" s="11"/>
      <c r="U23" s="11">
        <v>9</v>
      </c>
      <c r="V23" s="11"/>
      <c r="W23" s="11"/>
      <c r="X23" s="5">
        <f t="shared" si="0"/>
        <v>2</v>
      </c>
      <c r="Y23" s="5">
        <f t="shared" si="1"/>
        <v>18</v>
      </c>
    </row>
    <row r="24" spans="1:25" x14ac:dyDescent="0.25">
      <c r="A24" s="3">
        <v>19</v>
      </c>
      <c r="B24" s="10" t="s">
        <v>171</v>
      </c>
      <c r="C24" s="10" t="s">
        <v>172</v>
      </c>
      <c r="D24" s="11"/>
      <c r="E24" s="11"/>
      <c r="F24" s="11"/>
      <c r="G24" s="11"/>
      <c r="H24" s="11"/>
      <c r="I24" s="11"/>
      <c r="J24" s="11"/>
      <c r="K24" s="11"/>
      <c r="L24" s="11"/>
      <c r="M24" s="11"/>
      <c r="N24" s="11"/>
      <c r="O24" s="11"/>
      <c r="P24" s="11"/>
      <c r="Q24" s="11"/>
      <c r="R24" s="11"/>
      <c r="S24" s="11"/>
      <c r="T24" s="11">
        <v>10</v>
      </c>
      <c r="U24" s="11"/>
      <c r="V24" s="11"/>
      <c r="W24" s="11"/>
      <c r="X24" s="5">
        <f t="shared" si="0"/>
        <v>1</v>
      </c>
      <c r="Y24" s="5">
        <f t="shared" si="1"/>
        <v>19</v>
      </c>
    </row>
    <row r="25" spans="1:25" x14ac:dyDescent="0.25">
      <c r="A25" s="3">
        <v>20</v>
      </c>
      <c r="B25" s="10" t="s">
        <v>173</v>
      </c>
      <c r="C25" s="10" t="s">
        <v>172</v>
      </c>
      <c r="D25" s="11"/>
      <c r="E25" s="11"/>
      <c r="F25" s="11"/>
      <c r="G25" s="11"/>
      <c r="H25" s="11"/>
      <c r="I25" s="11"/>
      <c r="J25" s="11"/>
      <c r="K25" s="11"/>
      <c r="L25" s="11"/>
      <c r="M25" s="11"/>
      <c r="N25" s="11"/>
      <c r="O25" s="11"/>
      <c r="P25" s="11"/>
      <c r="Q25" s="11"/>
      <c r="R25" s="11"/>
      <c r="S25" s="11"/>
      <c r="T25" s="11"/>
      <c r="U25" s="11"/>
      <c r="V25" s="11"/>
      <c r="W25" s="11"/>
      <c r="X25" s="5">
        <f t="shared" si="0"/>
        <v>0</v>
      </c>
      <c r="Y25" s="5" t="str">
        <f t="shared" si="1"/>
        <v>-</v>
      </c>
    </row>
  </sheetData>
  <mergeCells count="2">
    <mergeCell ref="A1:Y1"/>
    <mergeCell ref="A2:Y2"/>
  </mergeCells>
  <conditionalFormatting sqref="D6:W25">
    <cfRule type="cellIs" dxfId="11" priority="2" operator="equal">
      <formula>1</formula>
    </cfRule>
    <cfRule type="cellIs" dxfId="10" priority="3" operator="equal">
      <formula>2</formula>
    </cfRule>
    <cfRule type="cellIs" dxfId="9" priority="4" operator="equal">
      <formula>3</formula>
    </cfRule>
    <cfRule type="cellIs" dxfId="8" priority="5" operator="between">
      <formula>4</formula>
      <formula>6</formula>
    </cfRule>
    <cfRule type="cellIs" dxfId="7" priority="6" operator="between">
      <formula>7</formula>
      <formula>10</formula>
    </cfRule>
    <cfRule type="cellIs" dxfId="6" priority="7" operator="equal">
      <formula>"DNF"</formula>
    </cfRule>
  </conditionalFormatting>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47A1"/>
  </sheetPr>
  <dimension ref="A1:E91"/>
  <sheetViews>
    <sheetView showGridLines="0" topLeftCell="A13" zoomScaleNormal="100" workbookViewId="0">
      <selection activeCell="A29" sqref="A29:E29"/>
    </sheetView>
  </sheetViews>
  <sheetFormatPr baseColWidth="10" defaultColWidth="8.7109375" defaultRowHeight="15" x14ac:dyDescent="0.25"/>
  <cols>
    <col min="1" max="1" width="4" customWidth="1"/>
    <col min="2" max="2" width="50" customWidth="1"/>
    <col min="3" max="3" width="16" customWidth="1"/>
    <col min="4" max="4" width="12" customWidth="1"/>
    <col min="5" max="5" width="22" customWidth="1"/>
  </cols>
  <sheetData>
    <row r="1" spans="1:5" ht="30" customHeight="1" x14ac:dyDescent="0.25">
      <c r="A1" s="19" t="s">
        <v>0</v>
      </c>
      <c r="B1" s="19"/>
      <c r="C1" s="19"/>
      <c r="D1" s="19"/>
      <c r="E1" s="19"/>
    </row>
    <row r="2" spans="1:5" ht="81.75" customHeight="1" x14ac:dyDescent="0.25">
      <c r="A2" s="20" t="s">
        <v>1</v>
      </c>
      <c r="B2" s="20"/>
      <c r="C2" s="20"/>
      <c r="D2" s="20"/>
      <c r="E2" s="20"/>
    </row>
    <row r="4" spans="1:5" ht="15" customHeight="1" x14ac:dyDescent="0.25">
      <c r="A4" s="21" t="s">
        <v>2</v>
      </c>
      <c r="B4" s="21"/>
      <c r="C4" s="21"/>
      <c r="D4" s="21"/>
      <c r="E4" s="21"/>
    </row>
    <row r="5" spans="1:5" x14ac:dyDescent="0.25">
      <c r="A5" s="1" t="s">
        <v>3</v>
      </c>
      <c r="B5" s="2" t="s">
        <v>4</v>
      </c>
      <c r="C5" s="1" t="s">
        <v>5</v>
      </c>
      <c r="D5" s="1" t="s">
        <v>6</v>
      </c>
      <c r="E5" s="1" t="s">
        <v>7</v>
      </c>
    </row>
    <row r="6" spans="1:5" x14ac:dyDescent="0.25">
      <c r="A6" s="3">
        <v>1</v>
      </c>
      <c r="B6" s="4" t="s">
        <v>8</v>
      </c>
      <c r="C6" s="3" t="s">
        <v>9</v>
      </c>
      <c r="D6" s="5">
        <f>'📋 Quali &amp; Notizen'!E42</f>
        <v>18</v>
      </c>
      <c r="E6" s="6" t="str">
        <f>IF(D6&gt;=14,"✓ ERFÜLLT","✗ OFFEN")</f>
        <v>✓ ERFÜLLT</v>
      </c>
    </row>
    <row r="7" spans="1:5" x14ac:dyDescent="0.25">
      <c r="A7" s="3">
        <v>2</v>
      </c>
      <c r="B7" s="4" t="s">
        <v>10</v>
      </c>
      <c r="C7" s="3" t="s">
        <v>11</v>
      </c>
      <c r="D7" s="5">
        <f>'🏁 Fahrerwertung'!X7</f>
        <v>37</v>
      </c>
      <c r="E7" s="6" t="str">
        <f>IF(D7&gt;=10,"✓ ERFÜLLT","✗ OFFEN")</f>
        <v>✓ ERFÜLLT</v>
      </c>
    </row>
    <row r="8" spans="1:5" x14ac:dyDescent="0.25">
      <c r="A8" s="3">
        <v>3</v>
      </c>
      <c r="B8" s="4" t="s">
        <v>12</v>
      </c>
      <c r="C8" s="3" t="s">
        <v>13</v>
      </c>
      <c r="D8" s="5">
        <f>'📋 Quali &amp; Notizen'!E34</f>
        <v>7</v>
      </c>
      <c r="E8" s="6" t="str">
        <f>IF(D8&gt;=4,"✓ ERFÜLLT","✗ OFFEN")</f>
        <v>✓ ERFÜLLT</v>
      </c>
    </row>
    <row r="9" spans="1:5" x14ac:dyDescent="0.25">
      <c r="A9" s="3">
        <v>4</v>
      </c>
      <c r="B9" s="4" t="s">
        <v>14</v>
      </c>
      <c r="C9" s="3" t="s">
        <v>15</v>
      </c>
      <c r="D9" s="5">
        <f>'📋 Quali &amp; Notizen'!E37</f>
        <v>3</v>
      </c>
      <c r="E9" s="6" t="str">
        <f>IF(ISNUMBER(D9),IF(D9&lt;=8,"✓ ERFÜLLT","✗ OFFEN"),"—")</f>
        <v>✓ ERFÜLLT</v>
      </c>
    </row>
    <row r="10" spans="1:5" x14ac:dyDescent="0.25">
      <c r="A10" s="3">
        <v>5</v>
      </c>
      <c r="B10" s="4" t="s">
        <v>16</v>
      </c>
      <c r="C10" s="3" t="s">
        <v>17</v>
      </c>
      <c r="D10" s="5">
        <f>'📋 Quali &amp; Notizen'!E38</f>
        <v>10</v>
      </c>
      <c r="E10" s="6" t="str">
        <f>IF(D10&gt;=6,"✓ ERFÜLLT","✗ OFFEN")</f>
        <v>✓ ERFÜLLT</v>
      </c>
    </row>
    <row r="11" spans="1:5" x14ac:dyDescent="0.25">
      <c r="A11" s="3">
        <v>6</v>
      </c>
      <c r="B11" s="4" t="s">
        <v>18</v>
      </c>
      <c r="C11" s="3" t="s">
        <v>19</v>
      </c>
      <c r="D11" s="5">
        <f>'📋 Quali &amp; Notizen'!E30</f>
        <v>15</v>
      </c>
      <c r="E11" s="6" t="str">
        <f>IF(D11&gt;=12,"✓ ERFÜLLT","✗ OFFEN")</f>
        <v>✓ ERFÜLLT</v>
      </c>
    </row>
    <row r="12" spans="1:5" x14ac:dyDescent="0.25">
      <c r="A12" s="3">
        <v>7</v>
      </c>
      <c r="B12" s="4" t="s">
        <v>20</v>
      </c>
      <c r="C12" s="3" t="s">
        <v>21</v>
      </c>
      <c r="D12" s="5">
        <f>'📋 Quali &amp; Notizen'!E32</f>
        <v>0</v>
      </c>
      <c r="E12" s="6" t="str">
        <f>IF(D12&lt;=1,"✓ ERFÜLLT","✗ OFFEN")</f>
        <v>✓ ERFÜLLT</v>
      </c>
    </row>
    <row r="13" spans="1:5" x14ac:dyDescent="0.25">
      <c r="A13" s="3">
        <v>8</v>
      </c>
      <c r="B13" s="4" t="s">
        <v>22</v>
      </c>
      <c r="C13" s="3" t="s">
        <v>23</v>
      </c>
      <c r="D13" s="5">
        <f>IFERROR('📋 Quali &amp; Notizen'!E40,"—")</f>
        <v>10.74</v>
      </c>
      <c r="E13" s="6" t="str">
        <f>IF(ISNUMBER(D13),IF(D13&lt;=13,"✓ ERFÜLLT","✗ OFFEN"),"—")</f>
        <v>✓ ERFÜLLT</v>
      </c>
    </row>
    <row r="14" spans="1:5" ht="15" customHeight="1" x14ac:dyDescent="0.25">
      <c r="A14" s="22" t="s">
        <v>24</v>
      </c>
      <c r="B14" s="22"/>
      <c r="C14" s="22"/>
      <c r="D14" s="22"/>
      <c r="E14" s="7" t="str">
        <f>COUNTIF(E6:E13,"✓ ERFÜLLT")&amp;" / 8 erfüllt"</f>
        <v>8 / 8 erfüllt</v>
      </c>
    </row>
    <row r="15" spans="1:5" ht="36" customHeight="1" x14ac:dyDescent="0.25">
      <c r="A15" s="23" t="s">
        <v>25</v>
      </c>
      <c r="B15" s="23"/>
      <c r="C15" s="23"/>
      <c r="D15" s="23"/>
      <c r="E15" s="23"/>
    </row>
    <row r="17" spans="1:5" ht="15" customHeight="1" x14ac:dyDescent="0.25">
      <c r="A17" s="24" t="s">
        <v>26</v>
      </c>
      <c r="B17" s="24"/>
      <c r="C17" s="24"/>
      <c r="D17" s="24"/>
      <c r="E17" s="24"/>
    </row>
    <row r="18" spans="1:5" x14ac:dyDescent="0.25">
      <c r="A18" s="1" t="s">
        <v>3</v>
      </c>
      <c r="B18" s="2" t="s">
        <v>4</v>
      </c>
      <c r="C18" s="1" t="s">
        <v>5</v>
      </c>
      <c r="D18" s="1" t="s">
        <v>6</v>
      </c>
      <c r="E18" s="1" t="s">
        <v>7</v>
      </c>
    </row>
    <row r="19" spans="1:5" x14ac:dyDescent="0.25">
      <c r="A19" s="3">
        <v>1</v>
      </c>
      <c r="B19" s="4" t="s">
        <v>8</v>
      </c>
      <c r="C19" s="3" t="s">
        <v>27</v>
      </c>
      <c r="D19" s="5">
        <f>'📋 Quali &amp; Notizen'!E42</f>
        <v>18</v>
      </c>
      <c r="E19" s="6" t="str">
        <f>IF(D19&gt;=16,"✓ ERFÜLLT","✗ OFFEN")</f>
        <v>✓ ERFÜLLT</v>
      </c>
    </row>
    <row r="20" spans="1:5" x14ac:dyDescent="0.25">
      <c r="A20" s="3">
        <v>2</v>
      </c>
      <c r="B20" s="4" t="s">
        <v>10</v>
      </c>
      <c r="C20" s="3" t="s">
        <v>28</v>
      </c>
      <c r="D20" s="5">
        <f>'🏁 Fahrerwertung'!X7</f>
        <v>37</v>
      </c>
      <c r="E20" s="6" t="str">
        <f>IF(D20&gt;=25,"✓ ERFÜLLT","✗ OFFEN")</f>
        <v>✓ ERFÜLLT</v>
      </c>
    </row>
    <row r="21" spans="1:5" x14ac:dyDescent="0.25">
      <c r="A21" s="3">
        <v>3</v>
      </c>
      <c r="B21" s="4" t="s">
        <v>12</v>
      </c>
      <c r="C21" s="3" t="s">
        <v>29</v>
      </c>
      <c r="D21" s="5">
        <f>'📋 Quali &amp; Notizen'!E34</f>
        <v>7</v>
      </c>
      <c r="E21" s="6" t="str">
        <f>IF(D21&gt;=7,"✓ ERFÜLLT","✗ OFFEN")</f>
        <v>✓ ERFÜLLT</v>
      </c>
    </row>
    <row r="22" spans="1:5" x14ac:dyDescent="0.25">
      <c r="A22" s="3">
        <v>4</v>
      </c>
      <c r="B22" s="4" t="s">
        <v>14</v>
      </c>
      <c r="C22" s="3" t="s">
        <v>30</v>
      </c>
      <c r="D22" s="5">
        <f>'📋 Quali &amp; Notizen'!E37</f>
        <v>3</v>
      </c>
      <c r="E22" s="6" t="str">
        <f>IF(ISNUMBER(D22),IF(D22&lt;=6,"✓ ERFÜLLT","✗ OFFEN"),"—")</f>
        <v>✓ ERFÜLLT</v>
      </c>
    </row>
    <row r="23" spans="1:5" x14ac:dyDescent="0.25">
      <c r="A23" s="3">
        <v>5</v>
      </c>
      <c r="B23" s="4" t="s">
        <v>16</v>
      </c>
      <c r="C23" s="3" t="s">
        <v>31</v>
      </c>
      <c r="D23" s="5">
        <f>'📋 Quali &amp; Notizen'!E38</f>
        <v>10</v>
      </c>
      <c r="E23" s="6" t="str">
        <f>IF(D23&gt;=10,"✓ ERFÜLLT","✗ OFFEN")</f>
        <v>✓ ERFÜLLT</v>
      </c>
    </row>
    <row r="24" spans="1:5" x14ac:dyDescent="0.25">
      <c r="A24" s="3">
        <v>6</v>
      </c>
      <c r="B24" s="4" t="s">
        <v>22</v>
      </c>
      <c r="C24" s="3" t="s">
        <v>32</v>
      </c>
      <c r="D24" s="5">
        <f>IFERROR('📋 Quali &amp; Notizen'!E40,"—")</f>
        <v>10.74</v>
      </c>
      <c r="E24" s="6" t="str">
        <f>IF(ISNUMBER(D24),IF(D24&lt;=11,"✓ ERFÜLLT","✗ OFFEN"),"—")</f>
        <v>✓ ERFÜLLT</v>
      </c>
    </row>
    <row r="25" spans="1:5" x14ac:dyDescent="0.25">
      <c r="A25" s="3">
        <v>7</v>
      </c>
      <c r="B25" s="4" t="s">
        <v>18</v>
      </c>
      <c r="C25" s="3" t="s">
        <v>9</v>
      </c>
      <c r="D25" s="5">
        <f>'📋 Quali &amp; Notizen'!E30</f>
        <v>15</v>
      </c>
      <c r="E25" s="6" t="str">
        <f>IF(D25&gt;=14,"✓ ERFÜLLT","✗ OFFEN")</f>
        <v>✓ ERFÜLLT</v>
      </c>
    </row>
    <row r="26" spans="1:5" x14ac:dyDescent="0.25">
      <c r="A26" s="3">
        <v>8</v>
      </c>
      <c r="B26" s="4" t="s">
        <v>20</v>
      </c>
      <c r="C26" s="3" t="s">
        <v>33</v>
      </c>
      <c r="D26" s="5">
        <f>'📋 Quali &amp; Notizen'!E32</f>
        <v>0</v>
      </c>
      <c r="E26" s="6" t="str">
        <f>IF(D26&lt;=0,"✓ ERFÜLLT","✗ OFFEN")</f>
        <v>✓ ERFÜLLT</v>
      </c>
    </row>
    <row r="27" spans="1:5" x14ac:dyDescent="0.25">
      <c r="A27" s="3">
        <v>9</v>
      </c>
      <c r="B27" s="4" t="s">
        <v>34</v>
      </c>
      <c r="C27" s="3" t="s">
        <v>35</v>
      </c>
      <c r="D27" s="5">
        <f>'🏁 Fahrerwertung'!Y7</f>
        <v>13</v>
      </c>
      <c r="E27" s="6" t="str">
        <f>IF(ISNUMBER(D27),IF(D27&lt;=12,"✓ ERFÜLLT","✗ OFFEN"),"—")</f>
        <v>✗ OFFEN</v>
      </c>
    </row>
    <row r="28" spans="1:5" ht="15" customHeight="1" x14ac:dyDescent="0.25">
      <c r="A28" s="22" t="s">
        <v>36</v>
      </c>
      <c r="B28" s="22"/>
      <c r="C28" s="22"/>
      <c r="D28" s="22"/>
      <c r="E28" s="7" t="str">
        <f>COUNTIF(E19:E27,"✓ ERFÜLLT")&amp;" / 9 erfüllt"</f>
        <v>8 / 9 erfüllt</v>
      </c>
    </row>
    <row r="29" spans="1:5" ht="36" customHeight="1" x14ac:dyDescent="0.25">
      <c r="A29" s="23" t="s">
        <v>37</v>
      </c>
      <c r="B29" s="23"/>
      <c r="C29" s="23"/>
      <c r="D29" s="23"/>
      <c r="E29" s="23"/>
    </row>
    <row r="31" spans="1:5" ht="15" customHeight="1" x14ac:dyDescent="0.25">
      <c r="A31" s="25" t="s">
        <v>38</v>
      </c>
      <c r="B31" s="25"/>
      <c r="C31" s="25"/>
      <c r="D31" s="25"/>
      <c r="E31" s="25"/>
    </row>
    <row r="32" spans="1:5" x14ac:dyDescent="0.25">
      <c r="A32" s="1" t="s">
        <v>3</v>
      </c>
      <c r="B32" s="2" t="s">
        <v>4</v>
      </c>
      <c r="C32" s="1" t="s">
        <v>5</v>
      </c>
      <c r="D32" s="1" t="s">
        <v>6</v>
      </c>
      <c r="E32" s="1" t="s">
        <v>7</v>
      </c>
    </row>
    <row r="33" spans="1:5" x14ac:dyDescent="0.25">
      <c r="A33" s="3">
        <v>1</v>
      </c>
      <c r="B33" s="4" t="s">
        <v>39</v>
      </c>
      <c r="C33" s="3" t="s">
        <v>40</v>
      </c>
      <c r="D33" s="5">
        <f>'📋 Quali &amp; Notizen'!E35</f>
        <v>1</v>
      </c>
      <c r="E33" s="6" t="str">
        <f>IF(D33&gt;=1,"✓ ERFÜLLT","✗ OFFEN")</f>
        <v>✓ ERFÜLLT</v>
      </c>
    </row>
    <row r="34" spans="1:5" x14ac:dyDescent="0.25">
      <c r="A34" s="3">
        <v>2</v>
      </c>
      <c r="B34" s="4" t="s">
        <v>10</v>
      </c>
      <c r="C34" s="3" t="s">
        <v>41</v>
      </c>
      <c r="D34" s="5">
        <f>'🏁 Fahrerwertung'!X7</f>
        <v>37</v>
      </c>
      <c r="E34" s="6" t="str">
        <f>IF(D34&gt;=50,"✓ ERFÜLLT","✗ OFFEN")</f>
        <v>✗ OFFEN</v>
      </c>
    </row>
    <row r="35" spans="1:5" x14ac:dyDescent="0.25">
      <c r="A35" s="3">
        <v>3</v>
      </c>
      <c r="B35" s="4" t="s">
        <v>12</v>
      </c>
      <c r="C35" s="3" t="s">
        <v>11</v>
      </c>
      <c r="D35" s="5">
        <f>'📋 Quali &amp; Notizen'!E34</f>
        <v>7</v>
      </c>
      <c r="E35" s="6" t="str">
        <f>IF(D35&gt;=10,"✓ ERFÜLLT","✗ OFFEN")</f>
        <v>✗ OFFEN</v>
      </c>
    </row>
    <row r="36" spans="1:5" x14ac:dyDescent="0.25">
      <c r="A36" s="3">
        <v>4</v>
      </c>
      <c r="B36" s="4" t="s">
        <v>8</v>
      </c>
      <c r="C36" s="3" t="s">
        <v>42</v>
      </c>
      <c r="D36" s="5">
        <f>'📋 Quali &amp; Notizen'!E42</f>
        <v>18</v>
      </c>
      <c r="E36" s="6" t="str">
        <f>IF(D36&gt;=18,"✓ ERFÜLLT","✗ OFFEN")</f>
        <v>✓ ERFÜLLT</v>
      </c>
    </row>
    <row r="37" spans="1:5" x14ac:dyDescent="0.25">
      <c r="A37" s="3">
        <v>5</v>
      </c>
      <c r="B37" s="4" t="s">
        <v>16</v>
      </c>
      <c r="C37" s="3" t="s">
        <v>9</v>
      </c>
      <c r="D37" s="5">
        <f>'📋 Quali &amp; Notizen'!E38</f>
        <v>10</v>
      </c>
      <c r="E37" s="6" t="str">
        <f>IF(D37&gt;=14,"✓ ERFÜLLT","✗ OFFEN")</f>
        <v>✗ OFFEN</v>
      </c>
    </row>
    <row r="38" spans="1:5" x14ac:dyDescent="0.25">
      <c r="A38" s="3">
        <v>6</v>
      </c>
      <c r="B38" s="4" t="s">
        <v>22</v>
      </c>
      <c r="C38" s="3" t="s">
        <v>43</v>
      </c>
      <c r="D38" s="5">
        <f>IFERROR('📋 Quali &amp; Notizen'!E40,"—")</f>
        <v>10.74</v>
      </c>
      <c r="E38" s="6" t="str">
        <f>IF(ISNUMBER(D38),IF(D38&lt;=9.5,"✓ ERFÜLLT","✗ OFFEN"),"—")</f>
        <v>✗ OFFEN</v>
      </c>
    </row>
    <row r="39" spans="1:5" x14ac:dyDescent="0.25">
      <c r="A39" s="3">
        <v>7</v>
      </c>
      <c r="B39" s="4" t="s">
        <v>18</v>
      </c>
      <c r="C39" s="3" t="s">
        <v>27</v>
      </c>
      <c r="D39" s="5">
        <f>'📋 Quali &amp; Notizen'!E30</f>
        <v>15</v>
      </c>
      <c r="E39" s="6" t="str">
        <f>IF(D39&gt;=16,"✓ ERFÜLLT","✗ OFFEN")</f>
        <v>✗ OFFEN</v>
      </c>
    </row>
    <row r="40" spans="1:5" x14ac:dyDescent="0.25">
      <c r="A40" s="3">
        <v>8</v>
      </c>
      <c r="B40" s="4" t="s">
        <v>20</v>
      </c>
      <c r="C40" s="3" t="s">
        <v>33</v>
      </c>
      <c r="D40" s="5">
        <f>'📋 Quali &amp; Notizen'!E32</f>
        <v>0</v>
      </c>
      <c r="E40" s="6" t="str">
        <f>IF(D40&lt;=0,"✓ ERFÜLLT","✗ OFFEN")</f>
        <v>✓ ERFÜLLT</v>
      </c>
    </row>
    <row r="41" spans="1:5" x14ac:dyDescent="0.25">
      <c r="A41" s="3">
        <v>9</v>
      </c>
      <c r="B41" s="4" t="s">
        <v>34</v>
      </c>
      <c r="C41" s="3" t="s">
        <v>44</v>
      </c>
      <c r="D41" s="5">
        <f>'🏁 Fahrerwertung'!Y7</f>
        <v>13</v>
      </c>
      <c r="E41" s="6" t="str">
        <f>IF(ISNUMBER(D41),IF(D41&lt;=9,"✓ ERFÜLLT","✗ OFFEN"),"—")</f>
        <v>✗ OFFEN</v>
      </c>
    </row>
    <row r="42" spans="1:5" ht="15" customHeight="1" x14ac:dyDescent="0.25">
      <c r="A42" s="22" t="s">
        <v>45</v>
      </c>
      <c r="B42" s="22"/>
      <c r="C42" s="22"/>
      <c r="D42" s="22"/>
      <c r="E42" s="7" t="str">
        <f>COUNTIF(E33:E41,"✓ ERFÜLLT")&amp;" / 9 erfüllt"</f>
        <v>3 / 9 erfüllt</v>
      </c>
    </row>
    <row r="43" spans="1:5" ht="36" customHeight="1" x14ac:dyDescent="0.25">
      <c r="A43" s="23" t="s">
        <v>46</v>
      </c>
      <c r="B43" s="23"/>
      <c r="C43" s="23"/>
      <c r="D43" s="23"/>
      <c r="E43" s="23"/>
    </row>
    <row r="45" spans="1:5" ht="15" customHeight="1" x14ac:dyDescent="0.25">
      <c r="A45" s="26" t="s">
        <v>47</v>
      </c>
      <c r="B45" s="26"/>
      <c r="C45" s="26"/>
      <c r="D45" s="26"/>
      <c r="E45" s="26"/>
    </row>
    <row r="46" spans="1:5" ht="15" customHeight="1" x14ac:dyDescent="0.25">
      <c r="A46" s="27" t="s">
        <v>48</v>
      </c>
      <c r="B46" s="27"/>
      <c r="C46" s="27" t="str">
        <f>IF(COUNTIF(E33:E41,"✓ ERFÜLLT")=9,"👑 DAS UNMÖGLICHE",IF(AND(COUNTIF(E6:E13,"✓ ERFÜLLT")=8,COUNTIF(E19:E27,"✓ ERFÜLLT")=9),"✦ BONUS — Honda zum Laufen gebracht",IF(COUNTIF(E6:E13,"✓ ERFÜLLT")=8,"✓ PFLICHT — Weltmeister bleibt Weltmeister","✗ UNTER PFLICHT — Hamilton hatte recht")))</f>
        <v>✓ PFLICHT — Weltmeister bleibt Weltmeister</v>
      </c>
      <c r="D46" s="27"/>
      <c r="E46" s="27"/>
    </row>
    <row r="48" spans="1:5" ht="15" customHeight="1" x14ac:dyDescent="0.25">
      <c r="A48" s="26" t="s">
        <v>49</v>
      </c>
      <c r="B48" s="26"/>
      <c r="C48" s="26"/>
      <c r="D48" s="26"/>
      <c r="E48" s="26"/>
    </row>
    <row r="49" spans="1:5" ht="30" customHeight="1" x14ac:dyDescent="0.25">
      <c r="A49" s="20" t="s">
        <v>50</v>
      </c>
      <c r="B49" s="20"/>
      <c r="C49" s="20"/>
      <c r="D49" s="20"/>
      <c r="E49" s="20"/>
    </row>
    <row r="50" spans="1:5" ht="30" customHeight="1" x14ac:dyDescent="0.25">
      <c r="A50" s="20" t="s">
        <v>51</v>
      </c>
      <c r="B50" s="20"/>
      <c r="C50" s="20"/>
      <c r="D50" s="20"/>
      <c r="E50" s="20"/>
    </row>
    <row r="51" spans="1:5" ht="30" customHeight="1" x14ac:dyDescent="0.25">
      <c r="A51" s="20" t="s">
        <v>52</v>
      </c>
      <c r="B51" s="20"/>
      <c r="C51" s="20"/>
      <c r="D51" s="20"/>
      <c r="E51" s="20"/>
    </row>
    <row r="52" spans="1:5" ht="30" customHeight="1" x14ac:dyDescent="0.25">
      <c r="A52" s="20" t="s">
        <v>53</v>
      </c>
      <c r="B52" s="20"/>
      <c r="C52" s="20"/>
      <c r="D52" s="20"/>
      <c r="E52" s="20"/>
    </row>
    <row r="53" spans="1:5" ht="30" customHeight="1" x14ac:dyDescent="0.25">
      <c r="A53" s="20" t="s">
        <v>54</v>
      </c>
      <c r="B53" s="20"/>
      <c r="C53" s="20"/>
      <c r="D53" s="20"/>
      <c r="E53" s="20"/>
    </row>
    <row r="54" spans="1:5" ht="30" customHeight="1" x14ac:dyDescent="0.25">
      <c r="A54" s="20" t="s">
        <v>55</v>
      </c>
      <c r="B54" s="20"/>
      <c r="C54" s="20"/>
      <c r="D54" s="20"/>
      <c r="E54" s="20"/>
    </row>
    <row r="55" spans="1:5" ht="30" customHeight="1" x14ac:dyDescent="0.25">
      <c r="A55" s="20" t="s">
        <v>56</v>
      </c>
      <c r="B55" s="20"/>
      <c r="C55" s="20"/>
      <c r="D55" s="20"/>
      <c r="E55" s="20"/>
    </row>
    <row r="56" spans="1:5" ht="30" customHeight="1" x14ac:dyDescent="0.25">
      <c r="A56" s="20" t="s">
        <v>57</v>
      </c>
      <c r="B56" s="20"/>
      <c r="C56" s="20"/>
      <c r="D56" s="20"/>
      <c r="E56" s="20"/>
    </row>
    <row r="58" spans="1:5" ht="15" customHeight="1" x14ac:dyDescent="0.25">
      <c r="A58" s="24" t="s">
        <v>58</v>
      </c>
      <c r="B58" s="24"/>
      <c r="C58" s="24"/>
      <c r="D58" s="24"/>
      <c r="E58" s="24"/>
    </row>
    <row r="59" spans="1:5" ht="30" customHeight="1" x14ac:dyDescent="0.25">
      <c r="A59" s="23" t="s">
        <v>59</v>
      </c>
      <c r="B59" s="23"/>
      <c r="C59" s="23"/>
      <c r="D59" s="23"/>
      <c r="E59" s="23"/>
    </row>
    <row r="60" spans="1:5" ht="30" customHeight="1" x14ac:dyDescent="0.25">
      <c r="A60" s="23" t="s">
        <v>60</v>
      </c>
      <c r="B60" s="23"/>
      <c r="C60" s="23"/>
      <c r="D60" s="23"/>
      <c r="E60" s="23"/>
    </row>
    <row r="61" spans="1:5" ht="30" customHeight="1" x14ac:dyDescent="0.25">
      <c r="A61" s="23" t="s">
        <v>61</v>
      </c>
      <c r="B61" s="23"/>
      <c r="C61" s="23"/>
      <c r="D61" s="23"/>
      <c r="E61" s="23"/>
    </row>
    <row r="62" spans="1:5" ht="30" customHeight="1" x14ac:dyDescent="0.25">
      <c r="A62" s="23" t="s">
        <v>62</v>
      </c>
      <c r="B62" s="23"/>
      <c r="C62" s="23"/>
      <c r="D62" s="23"/>
      <c r="E62" s="23"/>
    </row>
    <row r="63" spans="1:5" ht="30" customHeight="1" x14ac:dyDescent="0.25">
      <c r="A63" s="23" t="s">
        <v>63</v>
      </c>
      <c r="B63" s="23"/>
      <c r="C63" s="23"/>
      <c r="D63" s="23"/>
      <c r="E63" s="23"/>
    </row>
    <row r="64" spans="1:5" ht="30" customHeight="1" x14ac:dyDescent="0.25">
      <c r="A64" s="23" t="s">
        <v>64</v>
      </c>
      <c r="B64" s="23"/>
      <c r="C64" s="23"/>
      <c r="D64" s="23"/>
      <c r="E64" s="23"/>
    </row>
    <row r="65" spans="1:5" ht="30" customHeight="1" x14ac:dyDescent="0.25">
      <c r="A65" s="23" t="s">
        <v>65</v>
      </c>
      <c r="B65" s="23"/>
      <c r="C65" s="23"/>
      <c r="D65" s="23"/>
      <c r="E65" s="23"/>
    </row>
    <row r="66" spans="1:5" ht="30" customHeight="1" x14ac:dyDescent="0.25">
      <c r="A66" s="23" t="s">
        <v>66</v>
      </c>
      <c r="B66" s="23"/>
      <c r="C66" s="23"/>
      <c r="D66" s="23"/>
      <c r="E66" s="23"/>
    </row>
    <row r="68" spans="1:5" ht="15" customHeight="1" x14ac:dyDescent="0.25">
      <c r="A68" s="21" t="s">
        <v>67</v>
      </c>
      <c r="B68" s="21"/>
      <c r="C68" s="21"/>
      <c r="D68" s="21"/>
      <c r="E68" s="21"/>
    </row>
    <row r="69" spans="1:5" ht="30" customHeight="1" x14ac:dyDescent="0.25">
      <c r="A69" s="20" t="s">
        <v>68</v>
      </c>
      <c r="B69" s="20"/>
      <c r="C69" s="20"/>
      <c r="D69" s="20"/>
      <c r="E69" s="20"/>
    </row>
    <row r="70" spans="1:5" ht="30" customHeight="1" x14ac:dyDescent="0.25">
      <c r="A70" s="20" t="s">
        <v>69</v>
      </c>
      <c r="B70" s="20"/>
      <c r="C70" s="20"/>
      <c r="D70" s="20"/>
      <c r="E70" s="20"/>
    </row>
    <row r="71" spans="1:5" ht="30" customHeight="1" x14ac:dyDescent="0.25">
      <c r="A71" s="20" t="s">
        <v>70</v>
      </c>
      <c r="B71" s="20"/>
      <c r="C71" s="20"/>
      <c r="D71" s="20"/>
      <c r="E71" s="20"/>
    </row>
    <row r="73" spans="1:5" ht="15" customHeight="1" x14ac:dyDescent="0.25">
      <c r="A73" s="26" t="s">
        <v>71</v>
      </c>
      <c r="B73" s="26"/>
      <c r="C73" s="26"/>
      <c r="D73" s="26"/>
      <c r="E73" s="26"/>
    </row>
    <row r="74" spans="1:5" ht="31.5" customHeight="1" x14ac:dyDescent="0.25">
      <c r="A74" s="28" t="s">
        <v>72</v>
      </c>
      <c r="B74" s="28"/>
      <c r="C74" s="29" t="s">
        <v>73</v>
      </c>
      <c r="D74" s="29"/>
      <c r="E74" s="29"/>
    </row>
    <row r="75" spans="1:5" ht="31.5" customHeight="1" x14ac:dyDescent="0.25">
      <c r="A75" s="28" t="s">
        <v>74</v>
      </c>
      <c r="B75" s="28"/>
      <c r="C75" s="29" t="s">
        <v>75</v>
      </c>
      <c r="D75" s="29"/>
      <c r="E75" s="29"/>
    </row>
    <row r="76" spans="1:5" ht="31.5" customHeight="1" x14ac:dyDescent="0.25">
      <c r="A76" s="30" t="s">
        <v>76</v>
      </c>
      <c r="B76" s="30"/>
      <c r="C76" s="31" t="s">
        <v>77</v>
      </c>
      <c r="D76" s="31"/>
      <c r="E76" s="31"/>
    </row>
    <row r="77" spans="1:5" ht="31.5" customHeight="1" x14ac:dyDescent="0.25">
      <c r="A77" s="30" t="s">
        <v>78</v>
      </c>
      <c r="B77" s="30"/>
      <c r="C77" s="31" t="s">
        <v>79</v>
      </c>
      <c r="D77" s="31"/>
      <c r="E77" s="31"/>
    </row>
    <row r="78" spans="1:5" ht="31.5" customHeight="1" x14ac:dyDescent="0.25">
      <c r="A78" s="32" t="s">
        <v>80</v>
      </c>
      <c r="B78" s="32"/>
      <c r="C78" s="33" t="s">
        <v>81</v>
      </c>
      <c r="D78" s="33"/>
      <c r="E78" s="33"/>
    </row>
    <row r="79" spans="1:5" ht="31.5" customHeight="1" x14ac:dyDescent="0.25">
      <c r="A79" s="30" t="s">
        <v>82</v>
      </c>
      <c r="B79" s="30"/>
      <c r="C79" s="31" t="s">
        <v>83</v>
      </c>
      <c r="D79" s="31"/>
      <c r="E79" s="31"/>
    </row>
    <row r="80" spans="1:5" ht="31.5" customHeight="1" x14ac:dyDescent="0.25">
      <c r="A80" s="28" t="s">
        <v>84</v>
      </c>
      <c r="B80" s="28"/>
      <c r="C80" s="29" t="s">
        <v>85</v>
      </c>
      <c r="D80" s="29"/>
      <c r="E80" s="29"/>
    </row>
    <row r="81" spans="1:5" ht="31.5" customHeight="1" x14ac:dyDescent="0.25">
      <c r="A81" s="28" t="s">
        <v>86</v>
      </c>
      <c r="B81" s="28"/>
      <c r="C81" s="29" t="s">
        <v>87</v>
      </c>
      <c r="D81" s="29"/>
      <c r="E81" s="29"/>
    </row>
    <row r="82" spans="1:5" ht="31.5" customHeight="1" x14ac:dyDescent="0.25">
      <c r="A82" s="28" t="s">
        <v>88</v>
      </c>
      <c r="B82" s="28"/>
      <c r="C82" s="29" t="s">
        <v>89</v>
      </c>
      <c r="D82" s="29"/>
      <c r="E82" s="29"/>
    </row>
    <row r="83" spans="1:5" ht="31.5" customHeight="1" x14ac:dyDescent="0.25">
      <c r="A83" s="34" t="s">
        <v>90</v>
      </c>
      <c r="B83" s="34"/>
      <c r="C83" s="35" t="s">
        <v>91</v>
      </c>
      <c r="D83" s="35"/>
      <c r="E83" s="35"/>
    </row>
    <row r="84" spans="1:5" ht="15" customHeight="1" x14ac:dyDescent="0.25">
      <c r="A84" s="23" t="s">
        <v>92</v>
      </c>
      <c r="B84" s="23"/>
      <c r="C84" s="23"/>
      <c r="D84" s="23"/>
      <c r="E84" s="23"/>
    </row>
    <row r="86" spans="1:5" ht="15" customHeight="1" x14ac:dyDescent="0.25">
      <c r="A86" s="26" t="s">
        <v>93</v>
      </c>
      <c r="B86" s="26"/>
      <c r="C86" s="26"/>
      <c r="D86" s="26"/>
      <c r="E86" s="26"/>
    </row>
    <row r="87" spans="1:5" ht="15" customHeight="1" x14ac:dyDescent="0.25">
      <c r="A87" s="36" t="s">
        <v>94</v>
      </c>
      <c r="B87" s="36"/>
      <c r="C87" s="36"/>
      <c r="D87" s="36"/>
      <c r="E87" s="36"/>
    </row>
    <row r="88" spans="1:5" ht="15" customHeight="1" x14ac:dyDescent="0.25">
      <c r="A88" s="36" t="s">
        <v>95</v>
      </c>
      <c r="B88" s="36"/>
      <c r="C88" s="36"/>
      <c r="D88" s="36"/>
      <c r="E88" s="36"/>
    </row>
    <row r="89" spans="1:5" ht="15" customHeight="1" x14ac:dyDescent="0.25">
      <c r="A89" s="36" t="s">
        <v>96</v>
      </c>
      <c r="B89" s="36"/>
      <c r="C89" s="36"/>
      <c r="D89" s="36"/>
      <c r="E89" s="36"/>
    </row>
    <row r="90" spans="1:5" ht="22.35" customHeight="1" x14ac:dyDescent="0.25">
      <c r="A90" s="36" t="s">
        <v>97</v>
      </c>
      <c r="B90" s="36"/>
      <c r="C90" s="36"/>
      <c r="D90" s="36"/>
      <c r="E90" s="36"/>
    </row>
    <row r="91" spans="1:5" ht="22.35" customHeight="1" x14ac:dyDescent="0.25">
      <c r="A91" s="36" t="s">
        <v>98</v>
      </c>
      <c r="B91" s="36"/>
      <c r="C91" s="36"/>
      <c r="D91" s="36"/>
      <c r="E91" s="36"/>
    </row>
  </sheetData>
  <mergeCells count="64">
    <mergeCell ref="A91:E91"/>
    <mergeCell ref="A86:E86"/>
    <mergeCell ref="A87:E87"/>
    <mergeCell ref="A88:E88"/>
    <mergeCell ref="A89:E89"/>
    <mergeCell ref="A90:E90"/>
    <mergeCell ref="A82:B82"/>
    <mergeCell ref="C82:E82"/>
    <mergeCell ref="A83:B83"/>
    <mergeCell ref="C83:E83"/>
    <mergeCell ref="A84:E84"/>
    <mergeCell ref="A79:B79"/>
    <mergeCell ref="C79:E79"/>
    <mergeCell ref="A80:B80"/>
    <mergeCell ref="C80:E80"/>
    <mergeCell ref="A81:B81"/>
    <mergeCell ref="C81:E81"/>
    <mergeCell ref="A76:B76"/>
    <mergeCell ref="C76:E76"/>
    <mergeCell ref="A77:B77"/>
    <mergeCell ref="C77:E77"/>
    <mergeCell ref="A78:B78"/>
    <mergeCell ref="C78:E78"/>
    <mergeCell ref="A71:E71"/>
    <mergeCell ref="A73:E73"/>
    <mergeCell ref="A74:B74"/>
    <mergeCell ref="C74:E74"/>
    <mergeCell ref="A75:B75"/>
    <mergeCell ref="C75:E75"/>
    <mergeCell ref="A65:E65"/>
    <mergeCell ref="A66:E66"/>
    <mergeCell ref="A68:E68"/>
    <mergeCell ref="A69:E69"/>
    <mergeCell ref="A70:E70"/>
    <mergeCell ref="A60:E60"/>
    <mergeCell ref="A61:E61"/>
    <mergeCell ref="A62:E62"/>
    <mergeCell ref="A63:E63"/>
    <mergeCell ref="A64:E64"/>
    <mergeCell ref="A54:E54"/>
    <mergeCell ref="A55:E55"/>
    <mergeCell ref="A56:E56"/>
    <mergeCell ref="A58:E58"/>
    <mergeCell ref="A59:E59"/>
    <mergeCell ref="A49:E49"/>
    <mergeCell ref="A50:E50"/>
    <mergeCell ref="A51:E51"/>
    <mergeCell ref="A52:E52"/>
    <mergeCell ref="A53:E53"/>
    <mergeCell ref="A43:E43"/>
    <mergeCell ref="A45:E45"/>
    <mergeCell ref="A46:B46"/>
    <mergeCell ref="C46:E46"/>
    <mergeCell ref="A48:E48"/>
    <mergeCell ref="A17:E17"/>
    <mergeCell ref="A28:D28"/>
    <mergeCell ref="A29:E29"/>
    <mergeCell ref="A31:E31"/>
    <mergeCell ref="A42:D42"/>
    <mergeCell ref="A1:E1"/>
    <mergeCell ref="A2:E2"/>
    <mergeCell ref="A4:E4"/>
    <mergeCell ref="A14:D14"/>
    <mergeCell ref="A15:E15"/>
  </mergeCells>
  <conditionalFormatting sqref="E6:E13">
    <cfRule type="cellIs" dxfId="17" priority="2" operator="equal">
      <formula>"✓ ERFÜLLT"</formula>
    </cfRule>
    <cfRule type="cellIs" dxfId="16" priority="3" operator="equal">
      <formula>"✗ OFFEN"</formula>
    </cfRule>
  </conditionalFormatting>
  <conditionalFormatting sqref="E19:E27">
    <cfRule type="cellIs" dxfId="15" priority="4" operator="equal">
      <formula>"✓ ERFÜLLT"</formula>
    </cfRule>
    <cfRule type="cellIs" dxfId="14" priority="5" operator="equal">
      <formula>"✗ OFFEN"</formula>
    </cfRule>
  </conditionalFormatting>
  <conditionalFormatting sqref="E33:E41">
    <cfRule type="cellIs" dxfId="13" priority="6" operator="equal">
      <formula>"✓ ERFÜLLT"</formula>
    </cfRule>
    <cfRule type="cellIs" dxfId="12" priority="7" operator="equal">
      <formula>"✗ OFFEN"</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D47A1"/>
  </sheetPr>
  <dimension ref="A1:F14"/>
  <sheetViews>
    <sheetView showGridLines="0" tabSelected="1" zoomScaleNormal="100" workbookViewId="0">
      <selection activeCell="D17" sqref="D17"/>
    </sheetView>
  </sheetViews>
  <sheetFormatPr baseColWidth="10" defaultColWidth="8.7109375" defaultRowHeight="15" x14ac:dyDescent="0.25"/>
  <cols>
    <col min="1" max="1" width="4" customWidth="1"/>
    <col min="2" max="4" width="26" customWidth="1"/>
    <col min="5" max="5" width="10" customWidth="1"/>
    <col min="6" max="6" width="6" customWidth="1"/>
  </cols>
  <sheetData>
    <row r="1" spans="1:6" ht="19.7" customHeight="1" x14ac:dyDescent="0.25">
      <c r="A1" s="19" t="s">
        <v>174</v>
      </c>
      <c r="B1" s="19"/>
      <c r="C1" s="19"/>
      <c r="D1" s="19"/>
      <c r="E1" s="19"/>
      <c r="F1" s="19"/>
    </row>
    <row r="4" spans="1:6" x14ac:dyDescent="0.25">
      <c r="A4" s="1" t="s">
        <v>3</v>
      </c>
      <c r="B4" s="1" t="s">
        <v>102</v>
      </c>
      <c r="C4" s="1" t="s">
        <v>175</v>
      </c>
      <c r="D4" s="1" t="s">
        <v>176</v>
      </c>
      <c r="E4" s="1" t="s">
        <v>10</v>
      </c>
      <c r="F4" s="1" t="s">
        <v>123</v>
      </c>
    </row>
    <row r="5" spans="1:6" x14ac:dyDescent="0.25">
      <c r="A5" s="12">
        <v>1</v>
      </c>
      <c r="B5" s="13" t="s">
        <v>145</v>
      </c>
      <c r="C5" s="13" t="s">
        <v>144</v>
      </c>
      <c r="D5" s="13" t="s">
        <v>146</v>
      </c>
      <c r="E5" s="12">
        <f>SUMIF('🏁 Fahrerwertung'!$C$6:$C$25,B5,'🏁 Fahrerwertung'!$X$6:$X$25)</f>
        <v>55</v>
      </c>
      <c r="F5" s="12">
        <f t="shared" ref="F5:F14" si="0">IF(E5=0,"-",RANK(E5,$E$5:$E$14,0))</f>
        <v>7</v>
      </c>
    </row>
    <row r="6" spans="1:6" x14ac:dyDescent="0.25">
      <c r="A6" s="3">
        <v>2</v>
      </c>
      <c r="B6" s="14" t="s">
        <v>148</v>
      </c>
      <c r="C6" s="14" t="s">
        <v>147</v>
      </c>
      <c r="D6" s="14" t="s">
        <v>149</v>
      </c>
      <c r="E6" s="3">
        <f>SUMIF('🏁 Fahrerwertung'!$C$6:$C$25,B6,'🏁 Fahrerwertung'!$X$6:$X$25)</f>
        <v>562</v>
      </c>
      <c r="F6" s="3">
        <f t="shared" si="0"/>
        <v>2</v>
      </c>
    </row>
    <row r="7" spans="1:6" x14ac:dyDescent="0.25">
      <c r="A7" s="3">
        <v>3</v>
      </c>
      <c r="B7" s="14" t="s">
        <v>151</v>
      </c>
      <c r="C7" s="14" t="s">
        <v>150</v>
      </c>
      <c r="D7" s="14" t="s">
        <v>152</v>
      </c>
      <c r="E7" s="3">
        <f>SUMIF('🏁 Fahrerwertung'!$C$6:$C$25,B7,'🏁 Fahrerwertung'!$X$6:$X$25)</f>
        <v>655</v>
      </c>
      <c r="F7" s="3">
        <f t="shared" si="0"/>
        <v>1</v>
      </c>
    </row>
    <row r="8" spans="1:6" x14ac:dyDescent="0.25">
      <c r="A8" s="3">
        <v>4</v>
      </c>
      <c r="B8" s="14" t="s">
        <v>154</v>
      </c>
      <c r="C8" s="14" t="s">
        <v>153</v>
      </c>
      <c r="D8" s="14" t="s">
        <v>155</v>
      </c>
      <c r="E8" s="3">
        <f>SUMIF('🏁 Fahrerwertung'!$C$6:$C$25,B8,'🏁 Fahrerwertung'!$X$6:$X$25)</f>
        <v>344</v>
      </c>
      <c r="F8" s="3">
        <f t="shared" si="0"/>
        <v>3</v>
      </c>
    </row>
    <row r="9" spans="1:6" x14ac:dyDescent="0.25">
      <c r="A9" s="3">
        <v>5</v>
      </c>
      <c r="B9" s="14" t="s">
        <v>157</v>
      </c>
      <c r="C9" s="14" t="s">
        <v>156</v>
      </c>
      <c r="D9" s="14" t="s">
        <v>158</v>
      </c>
      <c r="E9" s="3">
        <f>SUMIF('🏁 Fahrerwertung'!$C$6:$C$25,B9,'🏁 Fahrerwertung'!$X$6:$X$25)</f>
        <v>149</v>
      </c>
      <c r="F9" s="3">
        <f t="shared" si="0"/>
        <v>4</v>
      </c>
    </row>
    <row r="10" spans="1:6" x14ac:dyDescent="0.25">
      <c r="A10" s="3">
        <v>6</v>
      </c>
      <c r="B10" s="14" t="s">
        <v>160</v>
      </c>
      <c r="C10" s="14" t="s">
        <v>159</v>
      </c>
      <c r="D10" s="14" t="s">
        <v>161</v>
      </c>
      <c r="E10" s="3">
        <f>SUMIF('🏁 Fahrerwertung'!$C$6:$C$25,B10,'🏁 Fahrerwertung'!$X$6:$X$25)</f>
        <v>125</v>
      </c>
      <c r="F10" s="3">
        <f t="shared" si="0"/>
        <v>5</v>
      </c>
    </row>
    <row r="11" spans="1:6" x14ac:dyDescent="0.25">
      <c r="A11" s="3">
        <v>7</v>
      </c>
      <c r="B11" s="14" t="s">
        <v>163</v>
      </c>
      <c r="C11" s="14" t="s">
        <v>162</v>
      </c>
      <c r="D11" s="14" t="s">
        <v>164</v>
      </c>
      <c r="E11" s="3">
        <f>SUMIF('🏁 Fahrerwertung'!$C$6:$C$25,B11,'🏁 Fahrerwertung'!$X$6:$X$25)</f>
        <v>106</v>
      </c>
      <c r="F11" s="3">
        <f t="shared" si="0"/>
        <v>6</v>
      </c>
    </row>
    <row r="12" spans="1:6" x14ac:dyDescent="0.25">
      <c r="A12" s="3">
        <v>8</v>
      </c>
      <c r="B12" s="14" t="s">
        <v>166</v>
      </c>
      <c r="C12" s="14" t="s">
        <v>165</v>
      </c>
      <c r="D12" s="14" t="s">
        <v>167</v>
      </c>
      <c r="E12" s="3">
        <f>SUMIF('🏁 Fahrerwertung'!$C$6:$C$25,B12,'🏁 Fahrerwertung'!$X$6:$X$25)</f>
        <v>44</v>
      </c>
      <c r="F12" s="3">
        <f t="shared" si="0"/>
        <v>8</v>
      </c>
    </row>
    <row r="13" spans="1:6" x14ac:dyDescent="0.25">
      <c r="A13" s="3">
        <v>9</v>
      </c>
      <c r="B13" s="14" t="s">
        <v>169</v>
      </c>
      <c r="C13" s="14" t="s">
        <v>168</v>
      </c>
      <c r="D13" s="14" t="s">
        <v>170</v>
      </c>
      <c r="E13" s="3">
        <f>SUMIF('🏁 Fahrerwertung'!$C$6:$C$25,B13,'🏁 Fahrerwertung'!$X$6:$X$25)</f>
        <v>6</v>
      </c>
      <c r="F13" s="3">
        <f t="shared" si="0"/>
        <v>9</v>
      </c>
    </row>
    <row r="14" spans="1:6" x14ac:dyDescent="0.25">
      <c r="A14" s="3">
        <v>10</v>
      </c>
      <c r="B14" s="14" t="s">
        <v>172</v>
      </c>
      <c r="C14" s="14" t="s">
        <v>171</v>
      </c>
      <c r="D14" s="14" t="s">
        <v>173</v>
      </c>
      <c r="E14" s="3">
        <f>SUMIF('🏁 Fahrerwertung'!$C$6:$C$25,B14,'🏁 Fahrerwertung'!$X$6:$X$25)</f>
        <v>1</v>
      </c>
      <c r="F14" s="3">
        <f t="shared" si="0"/>
        <v>10</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D47A1"/>
  </sheetPr>
  <dimension ref="A1:L46"/>
  <sheetViews>
    <sheetView showGridLines="0" zoomScaleNormal="100" workbookViewId="0">
      <pane ySplit="4" topLeftCell="A5" activePane="bottomLeft" state="frozen"/>
      <selection pane="bottomLeft" activeCell="L20" sqref="L20"/>
    </sheetView>
  </sheetViews>
  <sheetFormatPr baseColWidth="10" defaultColWidth="8.7109375" defaultRowHeight="15" x14ac:dyDescent="0.25"/>
  <cols>
    <col min="1" max="1" width="7" customWidth="1"/>
    <col min="2" max="2" width="20" customWidth="1"/>
    <col min="3" max="3" width="14" customWidth="1"/>
    <col min="4" max="4" width="8" customWidth="1"/>
    <col min="5" max="5" width="10" customWidth="1"/>
    <col min="6" max="6" width="12" customWidth="1"/>
    <col min="7" max="7" width="7" customWidth="1"/>
    <col min="8" max="8" width="22" customWidth="1"/>
    <col min="9" max="9" width="8" customWidth="1"/>
    <col min="10" max="11" width="13" customWidth="1"/>
    <col min="12" max="12" width="60" customWidth="1"/>
  </cols>
  <sheetData>
    <row r="1" spans="1:12" ht="19.7" customHeight="1" x14ac:dyDescent="0.25">
      <c r="A1" s="19" t="s">
        <v>177</v>
      </c>
      <c r="B1" s="19"/>
      <c r="C1" s="19"/>
      <c r="D1" s="19"/>
      <c r="E1" s="19"/>
      <c r="F1" s="19"/>
      <c r="G1" s="19"/>
      <c r="H1" s="19"/>
      <c r="I1" s="19"/>
      <c r="J1" s="19"/>
      <c r="K1" s="19"/>
      <c r="L1" s="19"/>
    </row>
    <row r="2" spans="1:12" ht="15" customHeight="1" x14ac:dyDescent="0.25">
      <c r="A2" s="20" t="s">
        <v>178</v>
      </c>
      <c r="B2" s="20"/>
      <c r="C2" s="20"/>
      <c r="D2" s="20"/>
      <c r="E2" s="20"/>
      <c r="F2" s="20"/>
      <c r="G2" s="20"/>
      <c r="H2" s="20"/>
      <c r="I2" s="20"/>
      <c r="J2" s="20"/>
      <c r="K2" s="20"/>
      <c r="L2" s="20"/>
    </row>
    <row r="4" spans="1:12" ht="25.5" x14ac:dyDescent="0.25">
      <c r="A4" s="1" t="s">
        <v>179</v>
      </c>
      <c r="B4" s="1" t="s">
        <v>180</v>
      </c>
      <c r="C4" s="1" t="s">
        <v>181</v>
      </c>
      <c r="D4" s="1" t="s">
        <v>182</v>
      </c>
      <c r="E4" s="1" t="s">
        <v>183</v>
      </c>
      <c r="F4" s="1" t="s">
        <v>184</v>
      </c>
      <c r="G4" s="1" t="s">
        <v>185</v>
      </c>
      <c r="H4" s="1" t="s">
        <v>186</v>
      </c>
      <c r="I4" s="1" t="s">
        <v>187</v>
      </c>
      <c r="J4" s="1" t="s">
        <v>188</v>
      </c>
      <c r="K4" s="1" t="s">
        <v>189</v>
      </c>
      <c r="L4" s="1" t="s">
        <v>190</v>
      </c>
    </row>
    <row r="5" spans="1:12" ht="25.5" x14ac:dyDescent="0.25">
      <c r="A5" s="3" t="s">
        <v>103</v>
      </c>
      <c r="B5" s="14" t="s">
        <v>191</v>
      </c>
      <c r="C5" s="15" t="s">
        <v>124</v>
      </c>
      <c r="D5" s="11">
        <v>14</v>
      </c>
      <c r="E5" s="5">
        <f>IF('🏁 Fahrerwertung'!D7="","",'🏁 Fahrerwertung'!D7)</f>
        <v>8</v>
      </c>
      <c r="F5" s="11"/>
      <c r="G5" s="5" t="str">
        <f t="shared" ref="G5:G24" si="0">IF(D5=1,"★","—")</f>
        <v>—</v>
      </c>
      <c r="H5" s="11"/>
      <c r="I5" s="11"/>
      <c r="J5" s="11">
        <v>17</v>
      </c>
      <c r="K5" s="5" t="str">
        <f t="shared" ref="K5:K24" si="1">IF(AND(ISNUMBER(D5),ISNUMBER(J5)),IF(D5&lt;J5,"SABANOV",IF(D5&gt;J5,"VANDOORNE","Tie")),"")</f>
        <v>SABANOV</v>
      </c>
      <c r="L5" s="16" t="s">
        <v>227</v>
      </c>
    </row>
    <row r="6" spans="1:12" ht="25.5" x14ac:dyDescent="0.25">
      <c r="A6" s="3" t="s">
        <v>104</v>
      </c>
      <c r="B6" s="14" t="s">
        <v>192</v>
      </c>
      <c r="C6" s="15" t="s">
        <v>125</v>
      </c>
      <c r="D6" s="11">
        <v>12</v>
      </c>
      <c r="E6" s="5">
        <f>IF('🏁 Fahrerwertung'!E7="","",'🏁 Fahrerwertung'!E7)</f>
        <v>6</v>
      </c>
      <c r="F6" s="11"/>
      <c r="G6" s="5" t="str">
        <f t="shared" si="0"/>
        <v>—</v>
      </c>
      <c r="H6" s="11"/>
      <c r="I6" s="11"/>
      <c r="J6" s="11">
        <v>17</v>
      </c>
      <c r="K6" s="5" t="str">
        <f t="shared" si="1"/>
        <v>SABANOV</v>
      </c>
      <c r="L6" s="16" t="s">
        <v>228</v>
      </c>
    </row>
    <row r="7" spans="1:12" x14ac:dyDescent="0.25">
      <c r="A7" s="3" t="s">
        <v>105</v>
      </c>
      <c r="B7" s="14" t="s">
        <v>126</v>
      </c>
      <c r="C7" s="15" t="s">
        <v>126</v>
      </c>
      <c r="D7" s="11">
        <v>12</v>
      </c>
      <c r="E7" s="5">
        <f>IF('🏁 Fahrerwertung'!F7="","",'🏁 Fahrerwertung'!F7)</f>
        <v>11</v>
      </c>
      <c r="F7" s="11"/>
      <c r="G7" s="5" t="str">
        <f t="shared" si="0"/>
        <v>—</v>
      </c>
      <c r="H7" s="11"/>
      <c r="I7" s="11"/>
      <c r="J7" s="11">
        <v>16</v>
      </c>
      <c r="K7" s="5" t="str">
        <f t="shared" si="1"/>
        <v>SABANOV</v>
      </c>
      <c r="L7" s="16"/>
    </row>
    <row r="8" spans="1:12" x14ac:dyDescent="0.25">
      <c r="A8" s="3" t="s">
        <v>106</v>
      </c>
      <c r="B8" s="14" t="s">
        <v>193</v>
      </c>
      <c r="C8" s="17" t="s">
        <v>127</v>
      </c>
      <c r="D8" s="11">
        <v>14</v>
      </c>
      <c r="E8" s="5" t="str">
        <f>IF('🏁 Fahrerwertung'!G7="","",'🏁 Fahrerwertung'!G7)</f>
        <v>DNF</v>
      </c>
      <c r="F8" s="11"/>
      <c r="G8" s="5" t="str">
        <f t="shared" si="0"/>
        <v>—</v>
      </c>
      <c r="H8" s="11" t="s">
        <v>225</v>
      </c>
      <c r="I8" s="11"/>
      <c r="J8" s="11">
        <v>19</v>
      </c>
      <c r="K8" s="5" t="str">
        <f t="shared" si="1"/>
        <v>SABANOV</v>
      </c>
      <c r="L8" s="16"/>
    </row>
    <row r="9" spans="1:12" ht="25.5" x14ac:dyDescent="0.25">
      <c r="A9" s="3" t="s">
        <v>107</v>
      </c>
      <c r="B9" s="14" t="s">
        <v>194</v>
      </c>
      <c r="C9" s="15" t="s">
        <v>128</v>
      </c>
      <c r="D9" s="11">
        <v>9</v>
      </c>
      <c r="E9" s="5">
        <f>IF('🏁 Fahrerwertung'!H7="","",'🏁 Fahrerwertung'!H7)</f>
        <v>10</v>
      </c>
      <c r="F9" s="11"/>
      <c r="G9" s="5" t="str">
        <f t="shared" si="0"/>
        <v>—</v>
      </c>
      <c r="H9" s="11"/>
      <c r="I9" s="11"/>
      <c r="J9" s="11">
        <v>13</v>
      </c>
      <c r="K9" s="5" t="str">
        <f t="shared" si="1"/>
        <v>SABANOV</v>
      </c>
      <c r="L9" s="16" t="s">
        <v>226</v>
      </c>
    </row>
    <row r="10" spans="1:12" x14ac:dyDescent="0.25">
      <c r="A10" s="3" t="s">
        <v>108</v>
      </c>
      <c r="B10" s="14" t="s">
        <v>195</v>
      </c>
      <c r="C10" s="17" t="s">
        <v>129</v>
      </c>
      <c r="D10" s="11">
        <v>9</v>
      </c>
      <c r="E10" s="5">
        <f>IF('🏁 Fahrerwertung'!I7="","",'🏁 Fahrerwertung'!I7)</f>
        <v>7</v>
      </c>
      <c r="F10" s="11"/>
      <c r="G10" s="5" t="str">
        <f t="shared" si="0"/>
        <v>—</v>
      </c>
      <c r="H10" s="11"/>
      <c r="I10" s="11"/>
      <c r="J10" s="11">
        <v>17</v>
      </c>
      <c r="K10" s="5" t="str">
        <f t="shared" si="1"/>
        <v>SABANOV</v>
      </c>
      <c r="L10" s="16" t="s">
        <v>229</v>
      </c>
    </row>
    <row r="11" spans="1:12" ht="25.5" x14ac:dyDescent="0.25">
      <c r="A11" s="3" t="s">
        <v>109</v>
      </c>
      <c r="B11" s="14" t="s">
        <v>196</v>
      </c>
      <c r="C11" s="17" t="s">
        <v>130</v>
      </c>
      <c r="D11" s="11">
        <v>12</v>
      </c>
      <c r="E11" s="5" t="str">
        <f>IF('🏁 Fahrerwertung'!J7="","",'🏁 Fahrerwertung'!J7)</f>
        <v>DNF</v>
      </c>
      <c r="F11" s="11"/>
      <c r="G11" s="5" t="str">
        <f t="shared" si="0"/>
        <v>—</v>
      </c>
      <c r="H11" s="11" t="s">
        <v>225</v>
      </c>
      <c r="I11" s="11"/>
      <c r="J11" s="11">
        <v>15</v>
      </c>
      <c r="K11" s="5" t="str">
        <f t="shared" si="1"/>
        <v>SABANOV</v>
      </c>
      <c r="L11" s="16" t="s">
        <v>230</v>
      </c>
    </row>
    <row r="12" spans="1:12" x14ac:dyDescent="0.25">
      <c r="A12" s="3" t="s">
        <v>110</v>
      </c>
      <c r="B12" s="14" t="s">
        <v>197</v>
      </c>
      <c r="C12" s="15" t="s">
        <v>131</v>
      </c>
      <c r="D12" s="11">
        <v>14</v>
      </c>
      <c r="E12" s="5">
        <f>IF('🏁 Fahrerwertung'!K7="","",'🏁 Fahrerwertung'!K7)</f>
        <v>15</v>
      </c>
      <c r="F12" s="11"/>
      <c r="G12" s="5" t="str">
        <f t="shared" si="0"/>
        <v>—</v>
      </c>
      <c r="H12" s="11"/>
      <c r="I12" s="11"/>
      <c r="J12" s="11">
        <v>16</v>
      </c>
      <c r="K12" s="5" t="str">
        <f t="shared" si="1"/>
        <v>SABANOV</v>
      </c>
      <c r="L12" s="16"/>
    </row>
    <row r="13" spans="1:12" x14ac:dyDescent="0.25">
      <c r="A13" s="3" t="s">
        <v>111</v>
      </c>
      <c r="B13" s="14" t="s">
        <v>198</v>
      </c>
      <c r="C13" s="15" t="s">
        <v>132</v>
      </c>
      <c r="D13" s="11">
        <v>10</v>
      </c>
      <c r="E13" s="5">
        <f>IF('🏁 Fahrerwertung'!L7="","",'🏁 Fahrerwertung'!L7)</f>
        <v>10</v>
      </c>
      <c r="F13" s="11"/>
      <c r="G13" s="5" t="str">
        <f t="shared" si="0"/>
        <v>—</v>
      </c>
      <c r="H13" s="11"/>
      <c r="I13" s="11"/>
      <c r="J13" s="11">
        <v>12</v>
      </c>
      <c r="K13" s="5" t="str">
        <f t="shared" si="1"/>
        <v>SABANOV</v>
      </c>
      <c r="L13" s="16"/>
    </row>
    <row r="14" spans="1:12" ht="25.5" x14ac:dyDescent="0.25">
      <c r="A14" s="3" t="s">
        <v>112</v>
      </c>
      <c r="B14" s="14" t="s">
        <v>199</v>
      </c>
      <c r="C14" s="15" t="s">
        <v>133</v>
      </c>
      <c r="D14" s="11" t="s">
        <v>231</v>
      </c>
      <c r="E14" s="5">
        <f>IF('🏁 Fahrerwertung'!M7="","",'🏁 Fahrerwertung'!M7)</f>
        <v>14</v>
      </c>
      <c r="F14" s="11"/>
      <c r="G14" s="5" t="str">
        <f t="shared" si="0"/>
        <v>—</v>
      </c>
      <c r="H14" s="11"/>
      <c r="I14" s="11"/>
      <c r="J14" s="11">
        <v>15</v>
      </c>
      <c r="K14" s="5" t="s">
        <v>232</v>
      </c>
      <c r="L14" s="16" t="s">
        <v>233</v>
      </c>
    </row>
    <row r="15" spans="1:12" ht="25.5" x14ac:dyDescent="0.25">
      <c r="A15" s="3" t="s">
        <v>113</v>
      </c>
      <c r="B15" s="14" t="s">
        <v>200</v>
      </c>
      <c r="C15" s="15" t="s">
        <v>134</v>
      </c>
      <c r="D15" s="11">
        <v>4</v>
      </c>
      <c r="E15" s="5">
        <f>IF('🏁 Fahrerwertung'!N7="","",'🏁 Fahrerwertung'!N7)</f>
        <v>9</v>
      </c>
      <c r="F15" s="11"/>
      <c r="G15" s="5" t="str">
        <f t="shared" si="0"/>
        <v>—</v>
      </c>
      <c r="H15" s="11"/>
      <c r="I15" s="11"/>
      <c r="J15" s="11">
        <v>14</v>
      </c>
      <c r="K15" s="5" t="str">
        <f t="shared" si="1"/>
        <v>SABANOV</v>
      </c>
      <c r="L15" s="16" t="s">
        <v>234</v>
      </c>
    </row>
    <row r="16" spans="1:12" x14ac:dyDescent="0.25">
      <c r="A16" s="3" t="s">
        <v>114</v>
      </c>
      <c r="B16" s="14" t="s">
        <v>201</v>
      </c>
      <c r="C16" s="15" t="s">
        <v>135</v>
      </c>
      <c r="D16" s="11">
        <v>12</v>
      </c>
      <c r="E16" s="5">
        <f>IF('🏁 Fahrerwertung'!O7="","",'🏁 Fahrerwertung'!O7)</f>
        <v>11</v>
      </c>
      <c r="F16" s="11"/>
      <c r="G16" s="5" t="str">
        <f t="shared" si="0"/>
        <v>—</v>
      </c>
      <c r="H16" s="11"/>
      <c r="I16" s="11"/>
      <c r="J16" s="11">
        <v>14</v>
      </c>
      <c r="K16" s="5" t="str">
        <f t="shared" si="1"/>
        <v>SABANOV</v>
      </c>
      <c r="L16" s="16"/>
    </row>
    <row r="17" spans="1:12" x14ac:dyDescent="0.25">
      <c r="A17" s="3" t="s">
        <v>115</v>
      </c>
      <c r="B17" s="14" t="s">
        <v>202</v>
      </c>
      <c r="C17" s="15" t="s">
        <v>136</v>
      </c>
      <c r="D17" s="11">
        <v>17</v>
      </c>
      <c r="E17" s="5">
        <f>IF('🏁 Fahrerwertung'!P7="","",'🏁 Fahrerwertung'!P7)</f>
        <v>16</v>
      </c>
      <c r="F17" s="11"/>
      <c r="G17" s="5" t="str">
        <f t="shared" si="0"/>
        <v>—</v>
      </c>
      <c r="H17" s="11"/>
      <c r="I17" s="11"/>
      <c r="J17" s="11">
        <v>19</v>
      </c>
      <c r="K17" s="5" t="str">
        <f t="shared" si="1"/>
        <v>SABANOV</v>
      </c>
      <c r="L17" s="16"/>
    </row>
    <row r="18" spans="1:12" ht="38.25" x14ac:dyDescent="0.25">
      <c r="A18" s="3" t="s">
        <v>116</v>
      </c>
      <c r="B18" s="14" t="s">
        <v>203</v>
      </c>
      <c r="C18" s="15" t="s">
        <v>137</v>
      </c>
      <c r="D18" s="11">
        <v>1</v>
      </c>
      <c r="E18" s="5">
        <f>IF('🏁 Fahrerwertung'!Q7="","",'🏁 Fahrerwertung'!Q7)</f>
        <v>3</v>
      </c>
      <c r="F18" s="11"/>
      <c r="G18" s="5" t="str">
        <f t="shared" si="0"/>
        <v>★</v>
      </c>
      <c r="H18" s="11"/>
      <c r="I18" s="11"/>
      <c r="J18" s="11">
        <v>14</v>
      </c>
      <c r="K18" s="5" t="str">
        <f t="shared" si="1"/>
        <v>SABANOV</v>
      </c>
      <c r="L18" s="16" t="s">
        <v>235</v>
      </c>
    </row>
    <row r="19" spans="1:12" x14ac:dyDescent="0.25">
      <c r="A19" s="3" t="s">
        <v>117</v>
      </c>
      <c r="B19" s="14" t="s">
        <v>204</v>
      </c>
      <c r="C19" s="17" t="s">
        <v>138</v>
      </c>
      <c r="D19" s="11">
        <v>10</v>
      </c>
      <c r="E19" s="5" t="str">
        <f>IF('🏁 Fahrerwertung'!R7="","",'🏁 Fahrerwertung'!R7)</f>
        <v>DNF</v>
      </c>
      <c r="F19" s="11"/>
      <c r="G19" s="5" t="str">
        <f t="shared" si="0"/>
        <v>—</v>
      </c>
      <c r="H19" s="11" t="s">
        <v>225</v>
      </c>
      <c r="I19" s="11"/>
      <c r="J19" s="11">
        <v>15</v>
      </c>
      <c r="K19" s="5" t="str">
        <f t="shared" si="1"/>
        <v>SABANOV</v>
      </c>
      <c r="L19" s="16"/>
    </row>
    <row r="20" spans="1:12" x14ac:dyDescent="0.25">
      <c r="A20" s="3" t="s">
        <v>118</v>
      </c>
      <c r="B20" s="14" t="s">
        <v>205</v>
      </c>
      <c r="C20" s="15" t="s">
        <v>139</v>
      </c>
      <c r="D20" s="11">
        <v>9</v>
      </c>
      <c r="E20" s="5">
        <f>IF('🏁 Fahrerwertung'!S7="","",'🏁 Fahrerwertung'!S7)</f>
        <v>11</v>
      </c>
      <c r="F20" s="11"/>
      <c r="G20" s="5" t="str">
        <f t="shared" si="0"/>
        <v>—</v>
      </c>
      <c r="H20" s="11"/>
      <c r="I20" s="11"/>
      <c r="J20" s="11">
        <v>16</v>
      </c>
      <c r="K20" s="5" t="str">
        <f t="shared" si="1"/>
        <v>SABANOV</v>
      </c>
      <c r="L20" s="16"/>
    </row>
    <row r="21" spans="1:12" x14ac:dyDescent="0.25">
      <c r="A21" s="3" t="s">
        <v>119</v>
      </c>
      <c r="B21" s="14" t="s">
        <v>206</v>
      </c>
      <c r="C21" s="15" t="s">
        <v>140</v>
      </c>
      <c r="D21" s="11">
        <v>10</v>
      </c>
      <c r="E21" s="5" t="str">
        <f>IF('🏁 Fahrerwertung'!T7="","",'🏁 Fahrerwertung'!T7)</f>
        <v>DNF</v>
      </c>
      <c r="F21" s="11"/>
      <c r="G21" s="5" t="str">
        <f t="shared" si="0"/>
        <v>—</v>
      </c>
      <c r="H21" s="11" t="s">
        <v>225</v>
      </c>
      <c r="I21" s="11"/>
      <c r="J21" s="11">
        <v>13</v>
      </c>
      <c r="K21" s="5" t="str">
        <f t="shared" si="1"/>
        <v>SABANOV</v>
      </c>
      <c r="L21" s="16"/>
    </row>
    <row r="22" spans="1:12" x14ac:dyDescent="0.25">
      <c r="A22" s="3" t="s">
        <v>120</v>
      </c>
      <c r="B22" s="14" t="s">
        <v>207</v>
      </c>
      <c r="C22" s="15" t="s">
        <v>141</v>
      </c>
      <c r="D22" s="11">
        <v>9</v>
      </c>
      <c r="E22" s="5">
        <f>IF('🏁 Fahrerwertung'!U7="","",'🏁 Fahrerwertung'!U7)</f>
        <v>13</v>
      </c>
      <c r="F22" s="11"/>
      <c r="G22" s="5" t="str">
        <f t="shared" si="0"/>
        <v>—</v>
      </c>
      <c r="H22" s="11"/>
      <c r="I22" s="11"/>
      <c r="J22" s="11">
        <v>17</v>
      </c>
      <c r="K22" s="5" t="str">
        <f t="shared" si="1"/>
        <v>SABANOV</v>
      </c>
      <c r="L22" s="16"/>
    </row>
    <row r="23" spans="1:12" x14ac:dyDescent="0.25">
      <c r="A23" s="3" t="s">
        <v>121</v>
      </c>
      <c r="B23" s="14" t="s">
        <v>208</v>
      </c>
      <c r="C23" s="15" t="s">
        <v>142</v>
      </c>
      <c r="D23" s="11">
        <v>16</v>
      </c>
      <c r="E23" s="5">
        <f>IF('🏁 Fahrerwertung'!V7="","",'🏁 Fahrerwertung'!V7)</f>
        <v>12</v>
      </c>
      <c r="F23" s="11"/>
      <c r="G23" s="5" t="str">
        <f t="shared" si="0"/>
        <v>—</v>
      </c>
      <c r="H23" s="11"/>
      <c r="I23" s="11"/>
      <c r="J23" s="11">
        <v>13</v>
      </c>
      <c r="K23" s="5" t="str">
        <f t="shared" si="1"/>
        <v>VANDOORNE</v>
      </c>
      <c r="L23" s="16" t="s">
        <v>237</v>
      </c>
    </row>
    <row r="24" spans="1:12" ht="25.5" x14ac:dyDescent="0.25">
      <c r="A24" s="3" t="s">
        <v>122</v>
      </c>
      <c r="B24" s="14" t="s">
        <v>209</v>
      </c>
      <c r="C24" s="17" t="s">
        <v>143</v>
      </c>
      <c r="D24" s="11">
        <v>10</v>
      </c>
      <c r="E24" s="5" t="str">
        <f>IF('🏁 Fahrerwertung'!W7="","",'🏁 Fahrerwertung'!W7)</f>
        <v>DNF</v>
      </c>
      <c r="F24" s="11"/>
      <c r="G24" s="5" t="str">
        <f t="shared" si="0"/>
        <v>—</v>
      </c>
      <c r="H24" s="11" t="s">
        <v>225</v>
      </c>
      <c r="I24" s="11"/>
      <c r="J24" s="11">
        <v>14</v>
      </c>
      <c r="K24" s="5" t="str">
        <f t="shared" si="1"/>
        <v>SABANOV</v>
      </c>
      <c r="L24" s="16" t="s">
        <v>236</v>
      </c>
    </row>
    <row r="26" spans="1:12" ht="15" customHeight="1" x14ac:dyDescent="0.25">
      <c r="A26" s="26" t="s">
        <v>210</v>
      </c>
      <c r="B26" s="26"/>
      <c r="C26" s="26"/>
      <c r="D26" s="26"/>
      <c r="E26" s="26"/>
      <c r="F26" s="26"/>
      <c r="G26" s="26"/>
      <c r="H26" s="26"/>
      <c r="I26" s="26"/>
      <c r="J26" s="26"/>
      <c r="K26" s="26"/>
      <c r="L26" s="26"/>
    </row>
    <row r="28" spans="1:12" ht="15" customHeight="1" x14ac:dyDescent="0.25">
      <c r="B28" s="37" t="s">
        <v>211</v>
      </c>
      <c r="C28" s="37"/>
      <c r="D28" s="37"/>
      <c r="E28" s="18">
        <f>IFERROR('🏁 Fahrerwertung'!X7,0)</f>
        <v>37</v>
      </c>
    </row>
    <row r="29" spans="1:12" ht="15" customHeight="1" x14ac:dyDescent="0.25">
      <c r="B29" s="37" t="s">
        <v>34</v>
      </c>
      <c r="C29" s="37"/>
      <c r="D29" s="37"/>
      <c r="E29" s="18">
        <f>IFERROR('🏁 Fahrerwertung'!Y7,"—")</f>
        <v>13</v>
      </c>
    </row>
    <row r="30" spans="1:12" ht="15" customHeight="1" x14ac:dyDescent="0.25">
      <c r="B30" s="37" t="s">
        <v>18</v>
      </c>
      <c r="C30" s="37"/>
      <c r="D30" s="37"/>
      <c r="E30" s="18">
        <f>COUNT('🏁 Fahrerwertung'!D7:W7)</f>
        <v>15</v>
      </c>
    </row>
    <row r="31" spans="1:12" ht="15" customHeight="1" x14ac:dyDescent="0.25">
      <c r="B31" s="37" t="s">
        <v>212</v>
      </c>
      <c r="C31" s="37"/>
      <c r="D31" s="37"/>
      <c r="E31" s="18">
        <f>20-E30</f>
        <v>5</v>
      </c>
    </row>
    <row r="32" spans="1:12" ht="15" customHeight="1" x14ac:dyDescent="0.25">
      <c r="B32" s="37" t="s">
        <v>213</v>
      </c>
      <c r="C32" s="37"/>
      <c r="D32" s="37"/>
      <c r="E32" s="18">
        <f>COUNTIF(I5:I24,"Y")</f>
        <v>0</v>
      </c>
    </row>
    <row r="33" spans="2:5" ht="15" customHeight="1" x14ac:dyDescent="0.25">
      <c r="B33" s="37" t="s">
        <v>214</v>
      </c>
      <c r="C33" s="37"/>
      <c r="D33" s="37"/>
      <c r="E33" s="18">
        <f>E31-E32</f>
        <v>5</v>
      </c>
    </row>
    <row r="34" spans="2:5" ht="15" customHeight="1" x14ac:dyDescent="0.25">
      <c r="B34" s="37" t="s">
        <v>12</v>
      </c>
      <c r="C34" s="37"/>
      <c r="D34" s="37"/>
      <c r="E34" s="18">
        <f>COUNTIF('🏁 Fahrerwertung'!D7:W7,"&lt;=10")</f>
        <v>7</v>
      </c>
    </row>
    <row r="35" spans="2:5" ht="15" customHeight="1" x14ac:dyDescent="0.25">
      <c r="B35" s="37" t="s">
        <v>39</v>
      </c>
      <c r="C35" s="37"/>
      <c r="D35" s="37"/>
      <c r="E35" s="18">
        <f>COUNTIF('🏁 Fahrerwertung'!D7:W7,"&lt;=3")</f>
        <v>1</v>
      </c>
    </row>
    <row r="36" spans="2:5" ht="15" customHeight="1" x14ac:dyDescent="0.25">
      <c r="B36" s="37" t="s">
        <v>215</v>
      </c>
      <c r="C36" s="37"/>
      <c r="D36" s="37"/>
      <c r="E36" s="18">
        <f>COUNTIF('🏁 Fahrerwertung'!D7:W7,1)</f>
        <v>0</v>
      </c>
    </row>
    <row r="37" spans="2:5" ht="15" customHeight="1" x14ac:dyDescent="0.25">
      <c r="B37" s="37" t="s">
        <v>14</v>
      </c>
      <c r="C37" s="37"/>
      <c r="D37" s="37"/>
      <c r="E37" s="18">
        <f>IFERROR(MIN('🏁 Fahrerwertung'!D7:W7),"—")</f>
        <v>3</v>
      </c>
    </row>
    <row r="38" spans="2:5" ht="15" customHeight="1" x14ac:dyDescent="0.25">
      <c r="B38" s="37" t="s">
        <v>16</v>
      </c>
      <c r="C38" s="37"/>
      <c r="D38" s="37"/>
      <c r="E38" s="18">
        <f>COUNTIF(D5:D24,"&lt;=10")</f>
        <v>10</v>
      </c>
    </row>
    <row r="39" spans="2:5" ht="15" customHeight="1" x14ac:dyDescent="0.25">
      <c r="B39" s="37" t="s">
        <v>216</v>
      </c>
      <c r="C39" s="37"/>
      <c r="D39" s="37"/>
      <c r="E39" s="18">
        <f>IFERROR(MIN(D5:D24),"—")</f>
        <v>1</v>
      </c>
    </row>
    <row r="40" spans="2:5" ht="15" customHeight="1" x14ac:dyDescent="0.25">
      <c r="B40" s="37" t="s">
        <v>217</v>
      </c>
      <c r="C40" s="37"/>
      <c r="D40" s="37"/>
      <c r="E40" s="18">
        <f>IFERROR(ROUND(AVERAGE(D5:D24),2),"—")</f>
        <v>10.74</v>
      </c>
    </row>
    <row r="41" spans="2:5" ht="15" customHeight="1" x14ac:dyDescent="0.25">
      <c r="B41" s="37" t="s">
        <v>218</v>
      </c>
      <c r="C41" s="37"/>
      <c r="D41" s="37"/>
      <c r="E41" s="18">
        <f>IFERROR(ROUND(AVERAGE(J5:J24),2),"—")</f>
        <v>15.3</v>
      </c>
    </row>
    <row r="42" spans="2:5" ht="15" customHeight="1" x14ac:dyDescent="0.25">
      <c r="B42" s="37" t="s">
        <v>219</v>
      </c>
      <c r="C42" s="37"/>
      <c r="D42" s="37"/>
      <c r="E42" s="18">
        <f>COUNTIF(K5:K24,"SABANOV")</f>
        <v>18</v>
      </c>
    </row>
    <row r="43" spans="2:5" ht="15" customHeight="1" x14ac:dyDescent="0.25">
      <c r="B43" s="37" t="s">
        <v>220</v>
      </c>
      <c r="C43" s="37"/>
      <c r="D43" s="37"/>
      <c r="E43" s="18">
        <f>COUNTIF(K5:K24,"VANDOORNE")</f>
        <v>2</v>
      </c>
    </row>
    <row r="44" spans="2:5" ht="15" customHeight="1" x14ac:dyDescent="0.25">
      <c r="B44" s="37" t="s">
        <v>221</v>
      </c>
      <c r="C44" s="37"/>
      <c r="D44" s="37"/>
      <c r="E44" s="18">
        <f>COUNTIF(K5:K24,"Tie")</f>
        <v>0</v>
      </c>
    </row>
    <row r="45" spans="2:5" ht="15" customHeight="1" x14ac:dyDescent="0.25">
      <c r="B45" s="37" t="s">
        <v>222</v>
      </c>
      <c r="C45" s="37"/>
      <c r="D45" s="37"/>
      <c r="E45" s="18">
        <f>COUNTIF('🏁 Fahrerwertung'!D7:W7,"&lt;=10")</f>
        <v>7</v>
      </c>
    </row>
    <row r="46" spans="2:5" ht="15" customHeight="1" x14ac:dyDescent="0.25">
      <c r="B46" s="37" t="s">
        <v>223</v>
      </c>
      <c r="C46" s="37"/>
      <c r="D46" s="37"/>
      <c r="E46" s="18">
        <f>COUNTIF(D5:D24,1)</f>
        <v>1</v>
      </c>
    </row>
  </sheetData>
  <mergeCells count="22">
    <mergeCell ref="B45:D45"/>
    <mergeCell ref="B46:D46"/>
    <mergeCell ref="B40:D40"/>
    <mergeCell ref="B41:D41"/>
    <mergeCell ref="B42:D42"/>
    <mergeCell ref="B43:D43"/>
    <mergeCell ref="B44:D44"/>
    <mergeCell ref="B35:D35"/>
    <mergeCell ref="B36:D36"/>
    <mergeCell ref="B37:D37"/>
    <mergeCell ref="B38:D38"/>
    <mergeCell ref="B39:D39"/>
    <mergeCell ref="B30:D30"/>
    <mergeCell ref="B31:D31"/>
    <mergeCell ref="B32:D32"/>
    <mergeCell ref="B33:D33"/>
    <mergeCell ref="B34:D34"/>
    <mergeCell ref="A1:L1"/>
    <mergeCell ref="A2:L2"/>
    <mergeCell ref="A26:L26"/>
    <mergeCell ref="B28:D28"/>
    <mergeCell ref="B29:D29"/>
  </mergeCells>
  <conditionalFormatting sqref="E5:E24">
    <cfRule type="cellIs" dxfId="5" priority="2" operator="equal">
      <formula>1</formula>
    </cfRule>
    <cfRule type="cellIs" dxfId="4" priority="3" operator="equal">
      <formula>2</formula>
    </cfRule>
    <cfRule type="cellIs" dxfId="3" priority="4" operator="equal">
      <formula>3</formula>
    </cfRule>
    <cfRule type="cellIs" dxfId="2" priority="5" operator="between">
      <formula>4</formula>
      <formula>6</formula>
    </cfRule>
    <cfRule type="cellIs" dxfId="1" priority="6" operator="between">
      <formula>7</formula>
      <formula>10</formula>
    </cfRule>
    <cfRule type="cellIs" dxfId="0" priority="7" operator="equal">
      <formula>"DNF"</formula>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 Fahrerwertung</vt:lpstr>
      <vt:lpstr>🎯 Anforderungen</vt:lpstr>
      <vt:lpstr>🏗️ Konstrukteurs</vt:lpstr>
      <vt:lpstr>📋 Quali &amp; Notizen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Sabanov, Devin</cp:lastModifiedBy>
  <cp:revision>0</cp:revision>
  <dcterms:created xsi:type="dcterms:W3CDTF">2026-10-11T07:46:42Z</dcterms:created>
  <dcterms:modified xsi:type="dcterms:W3CDTF">2026-10-12T15:25:46Z</dcterms:modified>
  <dc:language>en-US</dc:language>
</cp:coreProperties>
</file>